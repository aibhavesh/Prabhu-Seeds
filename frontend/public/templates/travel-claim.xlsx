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6bd7337a01a8061/Desktop/"/>
    </mc:Choice>
  </mc:AlternateContent>
  <xr:revisionPtr revIDLastSave="0" documentId="8_{FF5DD403-6018-4D92-88A5-B997608E7285}" xr6:coauthVersionLast="47" xr6:coauthVersionMax="47" xr10:uidLastSave="{00000000-0000-0000-0000-000000000000}"/>
  <bookViews>
    <workbookView xWindow="-120" yWindow="-120" windowWidth="24240" windowHeight="13020" firstSheet="1" activeTab="2" xr2:uid="{00000000-000D-0000-FFFF-FFFF00000000}"/>
  </bookViews>
  <sheets>
    <sheet name="23-24" sheetId="3" state="hidden" r:id="rId1"/>
    <sheet name="Travel Policy 24-25" sheetId="4" r:id="rId2"/>
    <sheet name="TES Exp Format" sheetId="5" r:id="rId3"/>
    <sheet name="ATP" sheetId="6" r:id="rId4"/>
    <sheet name="CS claim format" sheetId="7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5" l="1"/>
  <c r="L40" i="5"/>
  <c r="L39" i="5"/>
  <c r="L38" i="5"/>
  <c r="L37" i="5"/>
  <c r="L36" i="5"/>
  <c r="L35" i="5"/>
  <c r="R35" i="5" s="1"/>
  <c r="L34" i="5"/>
  <c r="R34" i="5" s="1"/>
  <c r="L33" i="5"/>
  <c r="R33" i="5" s="1"/>
  <c r="L32" i="5"/>
  <c r="R32" i="5" s="1"/>
  <c r="L31" i="5"/>
  <c r="R31" i="5" s="1"/>
  <c r="L30" i="5"/>
  <c r="L29" i="5"/>
  <c r="L28" i="5"/>
  <c r="L27" i="5"/>
  <c r="L26" i="5"/>
  <c r="L25" i="5"/>
  <c r="L24" i="5"/>
  <c r="L23" i="5"/>
  <c r="R23" i="5" s="1"/>
  <c r="L22" i="5"/>
  <c r="R22" i="5" s="1"/>
  <c r="L21" i="5"/>
  <c r="R21" i="5" s="1"/>
  <c r="L20" i="5"/>
  <c r="R20" i="5" s="1"/>
  <c r="L19" i="5"/>
  <c r="R19" i="5" s="1"/>
  <c r="L18" i="5"/>
  <c r="L17" i="5"/>
  <c r="L16" i="5"/>
  <c r="L15" i="5"/>
  <c r="L14" i="5"/>
  <c r="L13" i="5"/>
  <c r="L12" i="5"/>
  <c r="L11" i="5"/>
  <c r="R11" i="5" s="1"/>
  <c r="G50" i="7"/>
  <c r="G49" i="7"/>
  <c r="K34" i="7"/>
  <c r="G34" i="7"/>
  <c r="K33" i="7"/>
  <c r="G33" i="7"/>
  <c r="K32" i="7"/>
  <c r="G32" i="7"/>
  <c r="K31" i="7"/>
  <c r="G31" i="7"/>
  <c r="K30" i="7"/>
  <c r="G30" i="7"/>
  <c r="Q42" i="5"/>
  <c r="P42" i="5"/>
  <c r="O42" i="5"/>
  <c r="N42" i="5"/>
  <c r="M42" i="5"/>
  <c r="K42" i="5"/>
  <c r="R41" i="5"/>
  <c r="K41" i="5"/>
  <c r="R40" i="5"/>
  <c r="K40" i="5"/>
  <c r="R39" i="5"/>
  <c r="K39" i="5"/>
  <c r="R38" i="5"/>
  <c r="K38" i="5"/>
  <c r="R37" i="5"/>
  <c r="K37" i="5"/>
  <c r="R36" i="5"/>
  <c r="K36" i="5"/>
  <c r="K35" i="5"/>
  <c r="K34" i="5"/>
  <c r="K33" i="5"/>
  <c r="K32" i="5"/>
  <c r="K31" i="5"/>
  <c r="R30" i="5"/>
  <c r="K30" i="5"/>
  <c r="R29" i="5"/>
  <c r="K29" i="5"/>
  <c r="R28" i="5"/>
  <c r="K28" i="5"/>
  <c r="R27" i="5"/>
  <c r="K27" i="5"/>
  <c r="R26" i="5"/>
  <c r="K26" i="5"/>
  <c r="R25" i="5"/>
  <c r="K25" i="5"/>
  <c r="R24" i="5"/>
  <c r="K24" i="5"/>
  <c r="K23" i="5"/>
  <c r="K22" i="5"/>
  <c r="K21" i="5"/>
  <c r="K20" i="5"/>
  <c r="K19" i="5"/>
  <c r="R18" i="5"/>
  <c r="K18" i="5"/>
  <c r="R17" i="5"/>
  <c r="K17" i="5"/>
  <c r="R16" i="5"/>
  <c r="K16" i="5"/>
  <c r="R15" i="5"/>
  <c r="K15" i="5"/>
  <c r="R14" i="5"/>
  <c r="K14" i="5"/>
  <c r="R13" i="5"/>
  <c r="K13" i="5"/>
  <c r="R12" i="5"/>
  <c r="K12" i="5"/>
  <c r="R42" i="5" l="1"/>
  <c r="L42" i="5"/>
</calcChain>
</file>

<file path=xl/sharedStrings.xml><?xml version="1.0" encoding="utf-8"?>
<sst xmlns="http://schemas.openxmlformats.org/spreadsheetml/2006/main" count="278" uniqueCount="164">
  <si>
    <t>Annexure- 1 FORMING PART OF THE DOMESTIC I TOUR AND TRAVEL POLICY w.e.f. 01.04.2022</t>
  </si>
  <si>
    <t>(All figures in rupees only)</t>
  </si>
  <si>
    <t>GRADE</t>
  </si>
  <si>
    <t>MODE OF TRAVEL</t>
  </si>
  <si>
    <t>LODING</t>
  </si>
  <si>
    <t>BOARDING</t>
  </si>
  <si>
    <t>INCIDENTALS (per day)</t>
  </si>
  <si>
    <t>LOCAL CONVEYANCE</t>
  </si>
  <si>
    <t>(WITH BILLS ONLY)</t>
  </si>
  <si>
    <t>(upto limits without bills)</t>
  </si>
  <si>
    <t>CLASS A+</t>
  </si>
  <si>
    <t>CLASS A</t>
  </si>
  <si>
    <t>CLASS B</t>
  </si>
  <si>
    <t>CLASS C</t>
  </si>
  <si>
    <t>MD</t>
  </si>
  <si>
    <t xml:space="preserve"> A/C Bus</t>
  </si>
  <si>
    <t>Actual</t>
  </si>
  <si>
    <t>Taxi</t>
  </si>
  <si>
    <t xml:space="preserve"> Second Class sleeper Train</t>
  </si>
  <si>
    <t>Auto</t>
  </si>
  <si>
    <t>Breeder</t>
  </si>
  <si>
    <t>RSM</t>
  </si>
  <si>
    <t>ASM</t>
  </si>
  <si>
    <t>Public transport</t>
  </si>
  <si>
    <t>TSM</t>
  </si>
  <si>
    <t>Dy. TSM</t>
  </si>
  <si>
    <t xml:space="preserve"> </t>
  </si>
  <si>
    <t>NOTE</t>
  </si>
  <si>
    <t>1) In case of "BOARDING" Bills are not required Shall be paid uo to maximum limits specified.</t>
  </si>
  <si>
    <t>2) In case of "LODGING" Claims are settled at actual or up to limit specified which ever is less. Claims shall not be settled without bills.</t>
  </si>
  <si>
    <t>3) In case of "travel" Claims are settled only on submission of counter foils of TRAIN/BUS TICKETS.</t>
  </si>
  <si>
    <t>4) All Metro cities are in calss "A+ ", All state capitals are in "A", All district Head Quarters in "B" other than specified under A, All others in "C" class.</t>
  </si>
  <si>
    <t>5) Milage for Bike Rs. 2.80 per Km but we required logbook and petrol bills with TA bills .</t>
  </si>
  <si>
    <t>6) don't give any claim without bills/ voucher except DA.</t>
  </si>
  <si>
    <t>7) There is no DA claim less than 10 hours working and local HQ working.</t>
  </si>
  <si>
    <t>8) Return HQ with working more than 8 hours working class "C" boarding will be claimed.</t>
  </si>
  <si>
    <t>9) Maximum 2000 Km for a month running is perisible limit other than this take proier approval from me.</t>
  </si>
  <si>
    <t>PRABHUGOPAL AGRI PRODUCT PVT. LTD.</t>
  </si>
  <si>
    <t>Annexure- 1 FORMING PART OF THE DOMESTIC TOUR AND TRAVEL POLICY w.e.f. 01.05.2024</t>
  </si>
  <si>
    <t>LODGING</t>
  </si>
  <si>
    <t>BOARDING OUT OF HQ STAY ONLY</t>
  </si>
  <si>
    <t>RETURN TO HQ (per day)</t>
  </si>
  <si>
    <t>DESIGNATION COVERED FOR DA/TA</t>
  </si>
  <si>
    <t>M.D. &amp; all Other Directors</t>
  </si>
  <si>
    <t xml:space="preserve"> Air or 2nd AC</t>
  </si>
  <si>
    <t>Research Director</t>
  </si>
  <si>
    <t xml:space="preserve"> Air economy class, 2nd AC Train</t>
  </si>
  <si>
    <t>Dy. RSM, RSM, Sr. RSM, R&amp;D Head</t>
  </si>
  <si>
    <t xml:space="preserve"> 2nd AC Train</t>
  </si>
  <si>
    <t>Dy.ASM,ASM,Sr.ASM,Crop Coordinator, Sr. Plant/Production Manager, Asst. Manager &amp; CO- Assit Manager, Dy. Manager CO,Manager CO</t>
  </si>
  <si>
    <t xml:space="preserve"> 3rd AC Train</t>
  </si>
  <si>
    <t xml:space="preserve">Dy.TSM,TSM,Sr.TSM,Junior Breeder, Breeder,Sr.Breeder Plant/Production-Dy.Manager, Manager, Sr. Manager, CO- Assit. Manager, Dy. Manager, </t>
  </si>
  <si>
    <t>MARKETING OFFICER</t>
  </si>
  <si>
    <t>Dy.MO,MO,Sr. MO,Assit Breeder, Plant/Production -Dy. Officer, Officer &amp; Sr. Officer, Dy. CO, CO, Sr. CO</t>
  </si>
  <si>
    <t>SALES REPRESENTATIVE</t>
  </si>
  <si>
    <t>SR, Sr. SR, RA, Plant/Production Associat, Commercial Associat</t>
  </si>
  <si>
    <t>FIELD OFFICER</t>
  </si>
  <si>
    <t>Bus</t>
  </si>
  <si>
    <t>F.O, F. A, Plant/Production assistant, Commercial assitant</t>
  </si>
  <si>
    <t>WORKERS</t>
  </si>
  <si>
    <t>Driver,Peon &amp; others</t>
  </si>
  <si>
    <t>1) In case of "BOARDING" Bills are not required Shall be paid up to maximum limits specified.</t>
  </si>
  <si>
    <t>4) All Metro cities are in class "A+ ", All state capitals are in "A", All district Head Quarters in "B" All others in "C" class.</t>
  </si>
  <si>
    <t>5) Milage for Bike Rs. 3.00 per Km and for Car Rs. 8.25 per Km, but we required logbook and petrol bills with TA bills .</t>
  </si>
  <si>
    <t>6) Not accepted any claim without bills/ voucher except DA.</t>
  </si>
  <si>
    <t xml:space="preserve">7) There is no DA claim less than 8 hours working or 80 Km running and local HQ place. </t>
  </si>
  <si>
    <t>8) Maximum 2000 Km for a month running is perimisible limit other than this take prior approval from authorised person by mail or what's app.</t>
  </si>
  <si>
    <t>9) Car allowance will be allowed from TSM grade onward.</t>
  </si>
  <si>
    <t>NARSINGH YADAV</t>
  </si>
  <si>
    <t>MANGING DIRECTOR</t>
  </si>
  <si>
    <t>PRABHUGOPAL AGRI PRODUCT PVT LTD</t>
  </si>
  <si>
    <t>CLAIM FOR TRAVELLING EXPENSES</t>
  </si>
  <si>
    <t>Date</t>
  </si>
  <si>
    <t>Name</t>
  </si>
  <si>
    <t>Designation</t>
  </si>
  <si>
    <t>Head Quarter</t>
  </si>
  <si>
    <t>DEPARTURE</t>
  </si>
  <si>
    <t>ARRIVAL</t>
  </si>
  <si>
    <t>Place of stay</t>
  </si>
  <si>
    <t>DETAILS OF TRAVEL</t>
  </si>
  <si>
    <t>Fair Bus/Train</t>
  </si>
  <si>
    <t>D.A.</t>
  </si>
  <si>
    <t>Other Expenses</t>
  </si>
  <si>
    <t>Amount</t>
  </si>
  <si>
    <t>DATE</t>
  </si>
  <si>
    <t>TIME</t>
  </si>
  <si>
    <t>PLACE</t>
  </si>
  <si>
    <t>Opp.</t>
  </si>
  <si>
    <t>Closing</t>
  </si>
  <si>
    <t>Km</t>
  </si>
  <si>
    <t>Rs.</t>
  </si>
  <si>
    <t>Mode</t>
  </si>
  <si>
    <t>Head</t>
  </si>
  <si>
    <t>Total Claim</t>
  </si>
  <si>
    <t>I Certify that the claim is as per the T.A. Rules and I have not stayed with a friend or relative.</t>
  </si>
  <si>
    <t>TOURING PERSON</t>
  </si>
  <si>
    <t>HEAD OF DEPARTMENT</t>
  </si>
  <si>
    <t xml:space="preserve">FOR ACCOUNTS USE </t>
  </si>
  <si>
    <t>Amount taken in Suspense Rs…………</t>
  </si>
  <si>
    <t xml:space="preserve">          Date……………</t>
  </si>
  <si>
    <t>PARTICULARS</t>
  </si>
  <si>
    <t>DR.</t>
  </si>
  <si>
    <t>TRAVELLING &amp; CONVEYENCE</t>
  </si>
  <si>
    <t>p.</t>
  </si>
  <si>
    <t>CR.</t>
  </si>
  <si>
    <t>SUSPENSE A/C</t>
  </si>
  <si>
    <t>CASH P.N.B.</t>
  </si>
  <si>
    <t>Recd payment</t>
  </si>
  <si>
    <t>Passed for Rupees Rs______________________________________________________________</t>
  </si>
  <si>
    <t>CHECKER</t>
  </si>
  <si>
    <t>ACCOUNTS DEPTT.</t>
  </si>
  <si>
    <t>PRBHUGOPAL AGRI PRODUCT PVT LTD</t>
  </si>
  <si>
    <t>TOUR PROGRAMME DETAILS</t>
  </si>
  <si>
    <t xml:space="preserve">Name </t>
  </si>
  <si>
    <t>HQ</t>
  </si>
  <si>
    <t>Contact no</t>
  </si>
  <si>
    <t>Covered places</t>
  </si>
  <si>
    <t>Purpose</t>
  </si>
  <si>
    <t>SANCTINED SUBJECT TO T.A. RULES:</t>
  </si>
  <si>
    <t>SECTION INCHARGE</t>
  </si>
  <si>
    <t>DEPARTMENT HEAD</t>
  </si>
  <si>
    <t>DETAILS OF EASTIMATED  EXPENSES</t>
  </si>
  <si>
    <t>MODE OF TRANSPORT</t>
  </si>
  <si>
    <t>AMOUNT</t>
  </si>
  <si>
    <t>SN</t>
  </si>
  <si>
    <t>NAME OF ACTIVITY</t>
  </si>
  <si>
    <t>Name of farmer</t>
  </si>
  <si>
    <t>Contact no.</t>
  </si>
  <si>
    <t>Village</t>
  </si>
  <si>
    <t>Post</t>
  </si>
  <si>
    <t>District</t>
  </si>
  <si>
    <t>State</t>
  </si>
  <si>
    <t>Variety /Product</t>
  </si>
  <si>
    <t>No. of pkt /Kg</t>
  </si>
  <si>
    <t>Check hybrid</t>
  </si>
  <si>
    <t>No of farmer attended</t>
  </si>
  <si>
    <t>No of dealers</t>
  </si>
  <si>
    <t>Company officer</t>
  </si>
  <si>
    <t>CS/Meeting Date</t>
  </si>
  <si>
    <t xml:space="preserve">FA/Employee Name </t>
  </si>
  <si>
    <t>Village covered</t>
  </si>
  <si>
    <t>Vehicle detail</t>
  </si>
  <si>
    <t>Vechile no</t>
  </si>
  <si>
    <t>READING</t>
  </si>
  <si>
    <t>TOTAL KM</t>
  </si>
  <si>
    <t xml:space="preserve">Feul /diesel </t>
  </si>
  <si>
    <t>Rent /Day</t>
  </si>
  <si>
    <t>TOTAL</t>
  </si>
  <si>
    <t xml:space="preserve">Opening </t>
  </si>
  <si>
    <t>closing</t>
  </si>
  <si>
    <t>QTY</t>
  </si>
  <si>
    <t xml:space="preserve">Amount </t>
  </si>
  <si>
    <t>Rs</t>
  </si>
  <si>
    <t>Total</t>
  </si>
  <si>
    <t>Refreshment</t>
  </si>
  <si>
    <t>Particulars</t>
  </si>
  <si>
    <t>OTY</t>
  </si>
  <si>
    <t>Rate</t>
  </si>
  <si>
    <t>Remark</t>
  </si>
  <si>
    <t>Grand Total</t>
  </si>
  <si>
    <t>Verified By</t>
  </si>
  <si>
    <t>Terretory Incharge</t>
  </si>
  <si>
    <t>Commercial officer</t>
  </si>
  <si>
    <t>Department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</si>
</sst>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indexed="57"/>
      <name val="Arial"/>
      <charset val="134"/>
    </font>
    <font>
      <b/>
      <i/>
      <sz val="14"/>
      <color indexed="57"/>
      <name val="Arial"/>
      <charset val="134"/>
    </font>
    <font>
      <u/>
      <sz val="10"/>
      <color indexed="57"/>
      <name val="Arial"/>
      <charset val="134"/>
    </font>
    <font>
      <b/>
      <u/>
      <sz val="10"/>
      <color indexed="57"/>
      <name val="Arial"/>
      <charset val="134"/>
    </font>
    <font>
      <b/>
      <sz val="10"/>
      <color indexed="57"/>
      <name val="Arial"/>
      <charset val="134"/>
    </font>
    <font>
      <b/>
      <sz val="10"/>
      <color indexed="17"/>
      <name val="Arial"/>
      <charset val="134"/>
    </font>
    <font>
      <sz val="10"/>
      <color indexed="8"/>
      <name val="Arial"/>
      <charset val="134"/>
    </font>
    <font>
      <sz val="11"/>
      <color rgb="FF00B05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B050"/>
      <name val="Arial"/>
      <charset val="134"/>
    </font>
    <font>
      <b/>
      <i/>
      <sz val="16"/>
      <color rgb="FF00B050"/>
      <name val="Arial"/>
      <charset val="134"/>
    </font>
    <font>
      <b/>
      <u/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9"/>
      <color rgb="FF00B050"/>
      <name val="Arial"/>
      <charset val="134"/>
    </font>
    <font>
      <sz val="9"/>
      <color rgb="FF00B050"/>
      <name val="Calibri"/>
      <charset val="134"/>
      <scheme val="minor"/>
    </font>
    <font>
      <b/>
      <sz val="9"/>
      <color rgb="FF00B050"/>
      <name val="Arial"/>
      <charset val="134"/>
    </font>
    <font>
      <b/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57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57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17"/>
      </bottom>
      <diagonal/>
    </border>
    <border>
      <left style="medium">
        <color auto="1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auto="1"/>
      </left>
      <right style="thin">
        <color indexed="17"/>
      </right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medium">
        <color auto="1"/>
      </left>
      <right/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 style="medium">
        <color auto="1"/>
      </left>
      <right/>
      <top style="thin">
        <color indexed="17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 style="medium">
        <color auto="1"/>
      </left>
      <right style="thin">
        <color indexed="17"/>
      </right>
      <top style="thin">
        <color indexed="17"/>
      </top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17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indexed="17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1" fillId="0" borderId="9" xfId="0" applyFont="1" applyBorder="1"/>
    <xf numFmtId="0" fontId="1" fillId="0" borderId="11" xfId="0" applyFont="1" applyBorder="1"/>
    <xf numFmtId="0" fontId="0" fillId="0" borderId="12" xfId="0" applyBorder="1"/>
    <xf numFmtId="0" fontId="1" fillId="0" borderId="12" xfId="0" applyFont="1" applyBorder="1" applyAlignment="1">
      <alignment horizontal="center"/>
    </xf>
    <xf numFmtId="0" fontId="1" fillId="0" borderId="4" xfId="0" applyFont="1" applyBorder="1"/>
    <xf numFmtId="0" fontId="1" fillId="0" borderId="18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5" xfId="0" applyFont="1" applyBorder="1"/>
    <xf numFmtId="0" fontId="1" fillId="0" borderId="27" xfId="0" applyFon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8" xfId="0" applyFont="1" applyBorder="1"/>
    <xf numFmtId="0" fontId="1" fillId="0" borderId="5" xfId="0" applyFont="1" applyBorder="1"/>
    <xf numFmtId="0" fontId="1" fillId="0" borderId="3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0" borderId="4" xfId="0" applyFont="1" applyBorder="1"/>
    <xf numFmtId="0" fontId="6" fillId="0" borderId="0" xfId="0" applyFont="1"/>
    <xf numFmtId="0" fontId="3" fillId="0" borderId="0" xfId="0" applyFont="1"/>
    <xf numFmtId="0" fontId="3" fillId="0" borderId="4" xfId="0" applyFont="1" applyBorder="1"/>
    <xf numFmtId="0" fontId="3" fillId="0" borderId="11" xfId="0" applyFont="1" applyBorder="1"/>
    <xf numFmtId="0" fontId="7" fillId="0" borderId="12" xfId="0" applyFont="1" applyBorder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64" fontId="0" fillId="0" borderId="11" xfId="0" applyNumberFormat="1" applyBorder="1"/>
    <xf numFmtId="20" fontId="0" fillId="0" borderId="12" xfId="0" applyNumberFormat="1" applyBorder="1"/>
    <xf numFmtId="0" fontId="9" fillId="0" borderId="12" xfId="0" applyFont="1" applyBorder="1"/>
    <xf numFmtId="164" fontId="0" fillId="0" borderId="12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46" fontId="0" fillId="0" borderId="12" xfId="0" applyNumberFormat="1" applyBorder="1"/>
    <xf numFmtId="164" fontId="3" fillId="0" borderId="11" xfId="0" applyNumberFormat="1" applyFont="1" applyBorder="1"/>
    <xf numFmtId="0" fontId="3" fillId="0" borderId="12" xfId="0" applyFont="1" applyBorder="1"/>
    <xf numFmtId="164" fontId="3" fillId="0" borderId="12" xfId="0" applyNumberFormat="1" applyFont="1" applyBorder="1"/>
    <xf numFmtId="0" fontId="3" fillId="0" borderId="36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27" xfId="0" applyFont="1" applyBorder="1"/>
    <xf numFmtId="0" fontId="0" fillId="0" borderId="27" xfId="0" applyBorder="1"/>
    <xf numFmtId="0" fontId="11" fillId="0" borderId="0" xfId="0" applyFont="1"/>
    <xf numFmtId="0" fontId="0" fillId="0" borderId="0" xfId="0" applyAlignment="1">
      <alignment horizont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2" fillId="0" borderId="11" xfId="0" applyFont="1" applyBorder="1"/>
    <xf numFmtId="0" fontId="16" fillId="0" borderId="43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164" fontId="17" fillId="0" borderId="11" xfId="0" applyNumberFormat="1" applyFont="1" applyBorder="1"/>
    <xf numFmtId="0" fontId="17" fillId="0" borderId="12" xfId="0" applyFont="1" applyBorder="1"/>
    <xf numFmtId="0" fontId="16" fillId="0" borderId="12" xfId="0" applyFont="1" applyBorder="1"/>
    <xf numFmtId="164" fontId="17" fillId="0" borderId="12" xfId="0" applyNumberFormat="1" applyFont="1" applyBorder="1"/>
    <xf numFmtId="20" fontId="17" fillId="0" borderId="12" xfId="0" applyNumberFormat="1" applyFont="1" applyBorder="1"/>
    <xf numFmtId="14" fontId="17" fillId="0" borderId="11" xfId="0" applyNumberFormat="1" applyFont="1" applyBorder="1"/>
    <xf numFmtId="14" fontId="17" fillId="0" borderId="12" xfId="0" applyNumberFormat="1" applyFont="1" applyBorder="1"/>
    <xf numFmtId="0" fontId="17" fillId="0" borderId="11" xfId="0" applyFont="1" applyBorder="1"/>
    <xf numFmtId="46" fontId="17" fillId="0" borderId="12" xfId="0" applyNumberFormat="1" applyFont="1" applyBorder="1"/>
    <xf numFmtId="0" fontId="16" fillId="0" borderId="11" xfId="0" applyFont="1" applyBorder="1"/>
    <xf numFmtId="0" fontId="18" fillId="0" borderId="12" xfId="0" applyFont="1" applyBorder="1" applyAlignment="1">
      <alignment horizontal="center"/>
    </xf>
    <xf numFmtId="0" fontId="16" fillId="0" borderId="4" xfId="0" applyFont="1" applyBorder="1"/>
    <xf numFmtId="0" fontId="16" fillId="0" borderId="0" xfId="0" applyFont="1"/>
    <xf numFmtId="0" fontId="18" fillId="0" borderId="4" xfId="0" applyFont="1" applyBorder="1"/>
    <xf numFmtId="0" fontId="18" fillId="0" borderId="0" xfId="0" applyFont="1"/>
    <xf numFmtId="0" fontId="16" fillId="0" borderId="49" xfId="0" applyFont="1" applyBorder="1"/>
    <xf numFmtId="0" fontId="16" fillId="0" borderId="40" xfId="0" applyFont="1" applyBorder="1"/>
    <xf numFmtId="0" fontId="16" fillId="0" borderId="52" xfId="0" applyFont="1" applyBorder="1"/>
    <xf numFmtId="0" fontId="16" fillId="0" borderId="44" xfId="0" applyFont="1" applyBorder="1"/>
    <xf numFmtId="0" fontId="16" fillId="0" borderId="51" xfId="0" applyFont="1" applyBorder="1"/>
    <xf numFmtId="0" fontId="16" fillId="0" borderId="6" xfId="0" applyFont="1" applyBorder="1"/>
    <xf numFmtId="0" fontId="16" fillId="0" borderId="54" xfId="0" applyFont="1" applyBorder="1"/>
    <xf numFmtId="0" fontId="16" fillId="0" borderId="7" xfId="0" applyFont="1" applyBorder="1"/>
    <xf numFmtId="0" fontId="12" fillId="0" borderId="0" xfId="0" applyFont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44" xfId="0" applyFont="1" applyBorder="1" applyAlignment="1">
      <alignment vertical="center" wrapText="1"/>
    </xf>
    <xf numFmtId="0" fontId="16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0" borderId="12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38" xfId="0" applyFont="1" applyBorder="1"/>
    <xf numFmtId="0" fontId="16" fillId="0" borderId="7" xfId="0" applyFont="1" applyBorder="1" applyAlignment="1">
      <alignment horizontal="center"/>
    </xf>
    <xf numFmtId="0" fontId="16" fillId="0" borderId="12" xfId="0" applyFont="1" applyBorder="1" applyAlignment="1">
      <alignment vertical="center"/>
    </xf>
    <xf numFmtId="0" fontId="16" fillId="0" borderId="27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6" fillId="0" borderId="5" xfId="0" applyFont="1" applyBorder="1"/>
    <xf numFmtId="0" fontId="18" fillId="0" borderId="5" xfId="0" applyFont="1" applyBorder="1"/>
    <xf numFmtId="0" fontId="16" fillId="0" borderId="57" xfId="0" applyFont="1" applyBorder="1"/>
    <xf numFmtId="0" fontId="16" fillId="0" borderId="8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0" fillId="0" borderId="22" xfId="0" applyBorder="1"/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0" xfId="0" applyBorder="1"/>
    <xf numFmtId="0" fontId="0" fillId="0" borderId="63" xfId="0" applyBorder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60" xfId="0" applyFont="1" applyBorder="1" applyAlignment="1">
      <alignment horizontal="center"/>
    </xf>
    <xf numFmtId="0" fontId="0" fillId="0" borderId="65" xfId="0" applyBorder="1" applyAlignment="1">
      <alignment wrapText="1"/>
    </xf>
    <xf numFmtId="0" fontId="0" fillId="0" borderId="66" xfId="0" applyBorder="1" applyAlignment="1">
      <alignment wrapText="1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5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3" xfId="0" applyFont="1" applyBorder="1" applyAlignment="1">
      <alignment horizontal="center"/>
    </xf>
    <xf numFmtId="14" fontId="15" fillId="0" borderId="33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6" fillId="0" borderId="53" xfId="0" applyFont="1" applyBorder="1" applyAlignment="1">
      <alignment horizontal="left"/>
    </xf>
    <xf numFmtId="0" fontId="16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6" fillId="0" borderId="50" xfId="0" applyFont="1" applyBorder="1" applyAlignment="1">
      <alignment horizontal="left"/>
    </xf>
    <xf numFmtId="0" fontId="16" fillId="0" borderId="51" xfId="0" applyFont="1" applyBorder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1</xdr:col>
      <xdr:colOff>890905</xdr:colOff>
      <xdr:row>3</xdr:row>
      <xdr:rowOff>255905</xdr:rowOff>
    </xdr:to>
    <xdr:pic>
      <xdr:nvPicPr>
        <xdr:cNvPr id="2" name="Picture 1" descr="C:\Users\Narsinghyadav\Downloads\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200025"/>
          <a:ext cx="1710055" cy="7829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3</xdr:col>
      <xdr:colOff>542925</xdr:colOff>
      <xdr:row>3</xdr:row>
      <xdr:rowOff>250825</xdr:rowOff>
    </xdr:to>
    <xdr:pic>
      <xdr:nvPicPr>
        <xdr:cNvPr id="2" name="Picture 1" descr="C:\Users\Narsinghyadav\Downloads\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6530" y="9525"/>
          <a:ext cx="1541780" cy="83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496570</xdr:colOff>
      <xdr:row>3</xdr:row>
      <xdr:rowOff>147955</xdr:rowOff>
    </xdr:to>
    <xdr:pic>
      <xdr:nvPicPr>
        <xdr:cNvPr id="2" name="Picture 1" descr="C:\Users\Narsinghyadav\Downloads\Log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9525"/>
          <a:ext cx="1658620" cy="748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219075</xdr:colOff>
      <xdr:row>4</xdr:row>
      <xdr:rowOff>104775</xdr:rowOff>
    </xdr:to>
    <xdr:pic>
      <xdr:nvPicPr>
        <xdr:cNvPr id="2" name="Picture 1" descr="C:\Users\Narsinghyadav\Downloads\Log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28600" y="0"/>
          <a:ext cx="1914525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1"/>
  <sheetViews>
    <sheetView topLeftCell="A13" workbookViewId="0">
      <selection activeCell="B18" sqref="B18"/>
    </sheetView>
  </sheetViews>
  <sheetFormatPr defaultColWidth="9" defaultRowHeight="15"/>
  <cols>
    <col min="1" max="1" width="8.28515625" style="125" customWidth="1"/>
    <col min="2" max="2" width="24.85546875" customWidth="1"/>
    <col min="3" max="3" width="9" customWidth="1"/>
    <col min="4" max="4" width="8" customWidth="1"/>
    <col min="5" max="6" width="7.85546875" customWidth="1"/>
    <col min="7" max="7" width="9" customWidth="1"/>
    <col min="8" max="8" width="8" customWidth="1"/>
    <col min="9" max="10" width="7.85546875" customWidth="1"/>
    <col min="11" max="11" width="13" hidden="1" customWidth="1"/>
    <col min="12" max="12" width="15.5703125" customWidth="1"/>
  </cols>
  <sheetData>
    <row r="2" spans="1:12">
      <c r="A2" s="144" t="s">
        <v>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2">
      <c r="A3" s="24"/>
      <c r="B3" s="145" t="s">
        <v>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</row>
    <row r="5" spans="1:12">
      <c r="A5" s="160" t="s">
        <v>2</v>
      </c>
      <c r="B5" s="150" t="s">
        <v>3</v>
      </c>
      <c r="C5" s="146" t="s">
        <v>4</v>
      </c>
      <c r="D5" s="146"/>
      <c r="E5" s="146"/>
      <c r="F5" s="146"/>
      <c r="G5" s="146" t="s">
        <v>5</v>
      </c>
      <c r="H5" s="146"/>
      <c r="I5" s="146"/>
      <c r="J5" s="146"/>
      <c r="K5" s="150" t="s">
        <v>6</v>
      </c>
      <c r="L5" s="171" t="s">
        <v>7</v>
      </c>
    </row>
    <row r="6" spans="1:12">
      <c r="A6" s="161"/>
      <c r="B6" s="151"/>
      <c r="C6" s="147" t="s">
        <v>8</v>
      </c>
      <c r="D6" s="148"/>
      <c r="E6" s="148"/>
      <c r="F6" s="149"/>
      <c r="G6" s="145" t="s">
        <v>9</v>
      </c>
      <c r="H6" s="145"/>
      <c r="I6" s="145"/>
      <c r="J6" s="145"/>
      <c r="K6" s="151"/>
      <c r="L6" s="172"/>
    </row>
    <row r="7" spans="1:12">
      <c r="A7" s="162"/>
      <c r="B7" s="152"/>
      <c r="C7" s="128" t="s">
        <v>10</v>
      </c>
      <c r="D7" s="128" t="s">
        <v>11</v>
      </c>
      <c r="E7" s="128" t="s">
        <v>12</v>
      </c>
      <c r="F7" s="128" t="s">
        <v>13</v>
      </c>
      <c r="G7" s="128" t="s">
        <v>10</v>
      </c>
      <c r="H7" s="128" t="s">
        <v>11</v>
      </c>
      <c r="I7" s="128" t="s">
        <v>12</v>
      </c>
      <c r="J7" s="128" t="s">
        <v>13</v>
      </c>
      <c r="K7" s="152"/>
      <c r="L7" s="173"/>
    </row>
    <row r="8" spans="1:12">
      <c r="A8" s="141">
        <v>1</v>
      </c>
      <c r="B8" s="130">
        <v>2</v>
      </c>
      <c r="C8" s="153">
        <v>3</v>
      </c>
      <c r="D8" s="154"/>
      <c r="E8" s="154"/>
      <c r="F8" s="155"/>
      <c r="G8" s="153">
        <v>4</v>
      </c>
      <c r="H8" s="154"/>
      <c r="I8" s="154"/>
      <c r="J8" s="155"/>
      <c r="K8" s="130">
        <v>5</v>
      </c>
      <c r="L8" s="130">
        <v>6</v>
      </c>
    </row>
    <row r="9" spans="1:12">
      <c r="A9" s="163" t="s">
        <v>14</v>
      </c>
      <c r="B9" s="30" t="s">
        <v>15</v>
      </c>
      <c r="C9" s="158" t="s">
        <v>16</v>
      </c>
      <c r="D9" s="158" t="s">
        <v>16</v>
      </c>
      <c r="E9" s="158" t="s">
        <v>16</v>
      </c>
      <c r="F9" s="158" t="s">
        <v>16</v>
      </c>
      <c r="G9" s="158">
        <v>800</v>
      </c>
      <c r="H9" s="158">
        <v>700</v>
      </c>
      <c r="I9" s="158">
        <v>600</v>
      </c>
      <c r="J9" s="158">
        <v>500</v>
      </c>
      <c r="K9" s="169">
        <v>50</v>
      </c>
      <c r="L9" s="142" t="s">
        <v>17</v>
      </c>
    </row>
    <row r="10" spans="1:12">
      <c r="A10" s="164"/>
      <c r="B10" s="128" t="s">
        <v>18</v>
      </c>
      <c r="C10" s="159"/>
      <c r="D10" s="159"/>
      <c r="E10" s="159"/>
      <c r="F10" s="159"/>
      <c r="G10" s="159"/>
      <c r="H10" s="159"/>
      <c r="I10" s="159"/>
      <c r="J10" s="159"/>
      <c r="K10" s="170"/>
      <c r="L10" s="143" t="s">
        <v>19</v>
      </c>
    </row>
    <row r="11" spans="1:12">
      <c r="A11" s="163" t="s">
        <v>20</v>
      </c>
      <c r="B11" s="30" t="s">
        <v>15</v>
      </c>
      <c r="C11" s="158">
        <v>2000</v>
      </c>
      <c r="D11" s="158">
        <v>1500</v>
      </c>
      <c r="E11" s="158">
        <v>1200</v>
      </c>
      <c r="F11" s="158">
        <v>1000</v>
      </c>
      <c r="G11" s="158">
        <v>350</v>
      </c>
      <c r="H11" s="158">
        <v>300</v>
      </c>
      <c r="I11" s="158">
        <v>250</v>
      </c>
      <c r="J11" s="158">
        <v>200</v>
      </c>
      <c r="K11" s="169">
        <v>50</v>
      </c>
      <c r="L11" s="142" t="s">
        <v>17</v>
      </c>
    </row>
    <row r="12" spans="1:12">
      <c r="A12" s="164"/>
      <c r="B12" s="128" t="s">
        <v>18</v>
      </c>
      <c r="C12" s="159"/>
      <c r="D12" s="159"/>
      <c r="E12" s="159"/>
      <c r="F12" s="159"/>
      <c r="G12" s="159"/>
      <c r="H12" s="159"/>
      <c r="I12" s="159"/>
      <c r="J12" s="159"/>
      <c r="K12" s="170"/>
      <c r="L12" s="143" t="s">
        <v>19</v>
      </c>
    </row>
    <row r="13" spans="1:12">
      <c r="A13" s="163" t="s">
        <v>21</v>
      </c>
      <c r="B13" s="30" t="s">
        <v>15</v>
      </c>
      <c r="C13" s="158">
        <v>2000</v>
      </c>
      <c r="D13" s="158">
        <v>1500</v>
      </c>
      <c r="E13" s="158">
        <v>1200</v>
      </c>
      <c r="F13" s="158">
        <v>1000</v>
      </c>
      <c r="G13" s="158">
        <v>350</v>
      </c>
      <c r="H13" s="158">
        <v>300</v>
      </c>
      <c r="I13" s="158">
        <v>250</v>
      </c>
      <c r="J13" s="158">
        <v>200</v>
      </c>
      <c r="K13" s="169">
        <v>50</v>
      </c>
      <c r="L13" s="142" t="s">
        <v>17</v>
      </c>
    </row>
    <row r="14" spans="1:12">
      <c r="A14" s="164"/>
      <c r="B14" s="128" t="s">
        <v>18</v>
      </c>
      <c r="C14" s="159"/>
      <c r="D14" s="159"/>
      <c r="E14" s="159"/>
      <c r="F14" s="159"/>
      <c r="G14" s="159"/>
      <c r="H14" s="159"/>
      <c r="I14" s="159"/>
      <c r="J14" s="159"/>
      <c r="K14" s="170"/>
      <c r="L14" s="143" t="s">
        <v>19</v>
      </c>
    </row>
    <row r="15" spans="1:12">
      <c r="A15" s="163" t="s">
        <v>22</v>
      </c>
      <c r="B15" s="30" t="s">
        <v>15</v>
      </c>
      <c r="C15" s="158">
        <v>1500</v>
      </c>
      <c r="D15" s="158">
        <v>1200</v>
      </c>
      <c r="E15" s="158">
        <v>1000</v>
      </c>
      <c r="F15" s="158">
        <v>800</v>
      </c>
      <c r="G15" s="158">
        <v>300</v>
      </c>
      <c r="H15" s="158">
        <v>250</v>
      </c>
      <c r="I15" s="158">
        <v>200</v>
      </c>
      <c r="J15" s="158">
        <v>150</v>
      </c>
      <c r="K15" s="169">
        <v>50</v>
      </c>
      <c r="L15" s="142" t="s">
        <v>23</v>
      </c>
    </row>
    <row r="16" spans="1:12">
      <c r="A16" s="164"/>
      <c r="B16" s="128" t="s">
        <v>18</v>
      </c>
      <c r="C16" s="159"/>
      <c r="D16" s="159"/>
      <c r="E16" s="159"/>
      <c r="F16" s="159"/>
      <c r="G16" s="159"/>
      <c r="H16" s="159"/>
      <c r="I16" s="159"/>
      <c r="J16" s="159"/>
      <c r="K16" s="170"/>
      <c r="L16" s="143" t="s">
        <v>19</v>
      </c>
    </row>
    <row r="17" spans="1:14" ht="15" customHeight="1">
      <c r="A17" s="165" t="s">
        <v>24</v>
      </c>
      <c r="B17" s="30" t="s">
        <v>15</v>
      </c>
      <c r="C17" s="158">
        <v>1000</v>
      </c>
      <c r="D17" s="158">
        <v>800</v>
      </c>
      <c r="E17" s="158">
        <v>700</v>
      </c>
      <c r="F17" s="158">
        <v>600</v>
      </c>
      <c r="G17" s="158">
        <v>275</v>
      </c>
      <c r="H17" s="158">
        <v>225</v>
      </c>
      <c r="I17" s="158">
        <v>175</v>
      </c>
      <c r="J17" s="158">
        <v>125</v>
      </c>
      <c r="K17" s="142" t="s">
        <v>23</v>
      </c>
      <c r="L17" s="142" t="s">
        <v>23</v>
      </c>
    </row>
    <row r="18" spans="1:14">
      <c r="A18" s="166"/>
      <c r="B18" s="128" t="s">
        <v>18</v>
      </c>
      <c r="C18" s="159"/>
      <c r="D18" s="159"/>
      <c r="E18" s="159"/>
      <c r="F18" s="159"/>
      <c r="G18" s="159"/>
      <c r="H18" s="159"/>
      <c r="I18" s="159"/>
      <c r="J18" s="159"/>
      <c r="K18" s="143" t="s">
        <v>19</v>
      </c>
      <c r="L18" s="143" t="s">
        <v>19</v>
      </c>
    </row>
    <row r="19" spans="1:14" ht="14.1" customHeight="1">
      <c r="A19" s="167" t="s">
        <v>25</v>
      </c>
      <c r="B19" s="30" t="s">
        <v>15</v>
      </c>
      <c r="C19" s="158">
        <v>900</v>
      </c>
      <c r="D19" s="158">
        <v>700</v>
      </c>
      <c r="E19" s="158">
        <v>600</v>
      </c>
      <c r="F19" s="158">
        <v>500</v>
      </c>
      <c r="G19" s="158">
        <v>250</v>
      </c>
      <c r="H19" s="158">
        <v>200</v>
      </c>
      <c r="I19" s="158">
        <v>150</v>
      </c>
      <c r="J19" s="158">
        <v>125</v>
      </c>
      <c r="K19" s="142" t="s">
        <v>23</v>
      </c>
      <c r="L19" s="142" t="s">
        <v>23</v>
      </c>
    </row>
    <row r="20" spans="1:14" ht="17.100000000000001" customHeight="1">
      <c r="A20" s="168"/>
      <c r="B20" s="128" t="s">
        <v>18</v>
      </c>
      <c r="C20" s="159"/>
      <c r="D20" s="159"/>
      <c r="E20" s="159"/>
      <c r="F20" s="159"/>
      <c r="G20" s="159"/>
      <c r="H20" s="159"/>
      <c r="I20" s="159"/>
      <c r="J20" s="159"/>
      <c r="K20" s="143" t="s">
        <v>19</v>
      </c>
      <c r="L20" s="143" t="s">
        <v>19</v>
      </c>
    </row>
    <row r="21" spans="1:14">
      <c r="C21" s="134"/>
      <c r="D21" s="134"/>
      <c r="E21" s="134"/>
      <c r="F21" s="134"/>
      <c r="G21" s="134"/>
      <c r="H21" s="134"/>
      <c r="I21" s="134"/>
      <c r="J21" s="134"/>
      <c r="K21" s="134"/>
      <c r="L21" s="140"/>
    </row>
    <row r="22" spans="1:14">
      <c r="N22" t="s">
        <v>26</v>
      </c>
    </row>
    <row r="23" spans="1:14">
      <c r="A23" t="s">
        <v>27</v>
      </c>
      <c r="B23" s="156" t="s">
        <v>28</v>
      </c>
      <c r="C23" s="156"/>
      <c r="D23" s="156"/>
      <c r="E23" s="156"/>
      <c r="F23" s="156"/>
      <c r="G23" s="156"/>
      <c r="H23" s="156"/>
      <c r="I23" s="156"/>
      <c r="J23" s="156"/>
      <c r="K23" s="156"/>
    </row>
    <row r="24" spans="1:14">
      <c r="A24"/>
      <c r="B24" s="157" t="s">
        <v>29</v>
      </c>
      <c r="C24" s="157"/>
      <c r="D24" s="157"/>
      <c r="E24" s="157"/>
      <c r="F24" s="157"/>
      <c r="G24" s="157"/>
      <c r="H24" s="157"/>
      <c r="I24" s="157"/>
      <c r="J24" s="157"/>
      <c r="K24" s="157"/>
    </row>
    <row r="25" spans="1:14">
      <c r="A25"/>
      <c r="B25" s="156" t="s">
        <v>30</v>
      </c>
      <c r="C25" s="156"/>
      <c r="D25" s="156"/>
      <c r="E25" s="156"/>
      <c r="F25" s="156"/>
      <c r="G25" s="156"/>
      <c r="H25" s="156"/>
      <c r="I25" s="156"/>
      <c r="J25" s="156"/>
      <c r="K25" s="156"/>
    </row>
    <row r="26" spans="1:14">
      <c r="A26"/>
      <c r="B26" s="157" t="s">
        <v>31</v>
      </c>
      <c r="C26" s="157"/>
      <c r="D26" s="157"/>
      <c r="E26" s="157"/>
      <c r="F26" s="157"/>
      <c r="G26" s="157"/>
      <c r="H26" s="157"/>
      <c r="I26" s="157"/>
      <c r="J26" s="157"/>
      <c r="K26" s="157"/>
    </row>
    <row r="27" spans="1:14">
      <c r="A27"/>
      <c r="B27" s="156" t="s">
        <v>32</v>
      </c>
      <c r="C27" s="156"/>
      <c r="D27" s="156"/>
      <c r="E27" s="156"/>
      <c r="F27" s="156"/>
      <c r="G27" s="156"/>
      <c r="H27" s="156"/>
      <c r="I27" s="156"/>
      <c r="J27" s="156"/>
      <c r="K27" s="156"/>
    </row>
    <row r="28" spans="1:14">
      <c r="A28"/>
      <c r="B28" t="s">
        <v>33</v>
      </c>
    </row>
    <row r="29" spans="1:14">
      <c r="A29"/>
      <c r="B29" t="s">
        <v>34</v>
      </c>
    </row>
    <row r="30" spans="1:14">
      <c r="A30"/>
      <c r="B30" t="s">
        <v>35</v>
      </c>
    </row>
    <row r="31" spans="1:14">
      <c r="A31"/>
      <c r="B31" t="s">
        <v>36</v>
      </c>
    </row>
  </sheetData>
  <mergeCells count="75">
    <mergeCell ref="K9:K10"/>
    <mergeCell ref="K11:K12"/>
    <mergeCell ref="K13:K14"/>
    <mergeCell ref="K15:K16"/>
    <mergeCell ref="L5:L7"/>
    <mergeCell ref="I19:I20"/>
    <mergeCell ref="J9:J10"/>
    <mergeCell ref="J11:J12"/>
    <mergeCell ref="J13:J14"/>
    <mergeCell ref="J15:J16"/>
    <mergeCell ref="J17:J18"/>
    <mergeCell ref="J19:J20"/>
    <mergeCell ref="I9:I10"/>
    <mergeCell ref="I11:I12"/>
    <mergeCell ref="I13:I14"/>
    <mergeCell ref="I15:I16"/>
    <mergeCell ref="I17:I18"/>
    <mergeCell ref="G19:G20"/>
    <mergeCell ref="H9:H10"/>
    <mergeCell ref="H11:H12"/>
    <mergeCell ref="H13:H14"/>
    <mergeCell ref="H15:H16"/>
    <mergeCell ref="H17:H18"/>
    <mergeCell ref="H19:H20"/>
    <mergeCell ref="G9:G10"/>
    <mergeCell ref="G11:G12"/>
    <mergeCell ref="G13:G14"/>
    <mergeCell ref="G15:G16"/>
    <mergeCell ref="G17:G18"/>
    <mergeCell ref="E19:E20"/>
    <mergeCell ref="F9:F10"/>
    <mergeCell ref="F11:F12"/>
    <mergeCell ref="F13:F14"/>
    <mergeCell ref="F15:F16"/>
    <mergeCell ref="F17:F18"/>
    <mergeCell ref="F19:F20"/>
    <mergeCell ref="B26:K26"/>
    <mergeCell ref="B27:K27"/>
    <mergeCell ref="A5:A7"/>
    <mergeCell ref="A9:A10"/>
    <mergeCell ref="A11:A12"/>
    <mergeCell ref="A13:A14"/>
    <mergeCell ref="A15:A16"/>
    <mergeCell ref="A17:A18"/>
    <mergeCell ref="A19:A20"/>
    <mergeCell ref="B5:B7"/>
    <mergeCell ref="C9:C10"/>
    <mergeCell ref="C11:C12"/>
    <mergeCell ref="C13:C14"/>
    <mergeCell ref="C15:C16"/>
    <mergeCell ref="C17:C18"/>
    <mergeCell ref="C19:C20"/>
    <mergeCell ref="C8:F8"/>
    <mergeCell ref="G8:J8"/>
    <mergeCell ref="B23:K23"/>
    <mergeCell ref="B24:K24"/>
    <mergeCell ref="B25:K25"/>
    <mergeCell ref="D9:D10"/>
    <mergeCell ref="D11:D12"/>
    <mergeCell ref="D13:D14"/>
    <mergeCell ref="D15:D16"/>
    <mergeCell ref="D17:D18"/>
    <mergeCell ref="D19:D20"/>
    <mergeCell ref="E9:E10"/>
    <mergeCell ref="E11:E12"/>
    <mergeCell ref="E13:E14"/>
    <mergeCell ref="E15:E16"/>
    <mergeCell ref="E17:E18"/>
    <mergeCell ref="A2:L2"/>
    <mergeCell ref="B3:L3"/>
    <mergeCell ref="C5:F5"/>
    <mergeCell ref="G5:J5"/>
    <mergeCell ref="C6:F6"/>
    <mergeCell ref="G6:J6"/>
    <mergeCell ref="K5:K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39"/>
  <sheetViews>
    <sheetView zoomScale="120" zoomScaleNormal="120" workbookViewId="0">
      <pane xSplit="2" ySplit="8" topLeftCell="C9" activePane="bottomRight" state="frozen"/>
      <selection pane="topRight"/>
      <selection pane="bottomLeft"/>
      <selection pane="bottomRight" activeCell="K27" sqref="K27"/>
    </sheetView>
  </sheetViews>
  <sheetFormatPr defaultColWidth="9" defaultRowHeight="15"/>
  <cols>
    <col min="1" max="1" width="12.42578125" style="125" customWidth="1"/>
    <col min="2" max="2" width="29.140625" customWidth="1"/>
    <col min="3" max="3" width="9" customWidth="1"/>
    <col min="4" max="4" width="8" customWidth="1"/>
    <col min="5" max="6" width="7.85546875" customWidth="1"/>
    <col min="7" max="7" width="9" customWidth="1"/>
    <col min="8" max="8" width="8" customWidth="1"/>
    <col min="9" max="10" width="7.85546875" customWidth="1"/>
    <col min="11" max="11" width="13" customWidth="1"/>
    <col min="12" max="12" width="15.5703125" customWidth="1"/>
    <col min="13" max="13" width="39.28515625" customWidth="1"/>
  </cols>
  <sheetData>
    <row r="2" spans="1:13" ht="18.75">
      <c r="A2" s="126"/>
      <c r="B2" s="127"/>
      <c r="C2" s="174" t="s">
        <v>37</v>
      </c>
      <c r="D2" s="174"/>
      <c r="E2" s="174"/>
      <c r="F2" s="174"/>
      <c r="G2" s="174"/>
      <c r="H2" s="174"/>
      <c r="I2" s="174"/>
      <c r="J2" s="174"/>
      <c r="K2" s="174"/>
      <c r="L2" s="174"/>
      <c r="M2" s="175"/>
    </row>
    <row r="3" spans="1:13" ht="21.95" customHeight="1">
      <c r="A3" s="25"/>
      <c r="B3" s="41"/>
      <c r="C3" s="176" t="s">
        <v>38</v>
      </c>
      <c r="D3" s="176"/>
      <c r="E3" s="176"/>
      <c r="F3" s="176"/>
      <c r="G3" s="176"/>
      <c r="H3" s="176"/>
      <c r="I3" s="176"/>
      <c r="J3" s="176"/>
      <c r="K3" s="176"/>
      <c r="L3" s="176"/>
      <c r="M3" s="177"/>
    </row>
    <row r="4" spans="1:13" ht="21.95" customHeight="1">
      <c r="A4" s="7"/>
      <c r="B4" s="9"/>
      <c r="C4" s="178" t="s">
        <v>1</v>
      </c>
      <c r="D4" s="178"/>
      <c r="E4" s="178"/>
      <c r="F4" s="178"/>
      <c r="G4" s="178"/>
      <c r="H4" s="178"/>
      <c r="I4" s="178"/>
      <c r="J4" s="178"/>
      <c r="K4" s="178"/>
      <c r="L4" s="178"/>
      <c r="M4" s="179"/>
    </row>
    <row r="5" spans="1:13">
      <c r="A5" s="185" t="s">
        <v>2</v>
      </c>
      <c r="B5" s="190" t="s">
        <v>3</v>
      </c>
      <c r="C5" s="146" t="s">
        <v>39</v>
      </c>
      <c r="D5" s="146"/>
      <c r="E5" s="146"/>
      <c r="F5" s="146"/>
      <c r="G5" s="146" t="s">
        <v>40</v>
      </c>
      <c r="H5" s="146"/>
      <c r="I5" s="146"/>
      <c r="J5" s="146"/>
      <c r="K5" s="150" t="s">
        <v>41</v>
      </c>
      <c r="L5" s="171" t="s">
        <v>7</v>
      </c>
      <c r="M5" s="191" t="s">
        <v>42</v>
      </c>
    </row>
    <row r="6" spans="1:13">
      <c r="A6" s="161"/>
      <c r="B6" s="151"/>
      <c r="C6" s="147" t="s">
        <v>8</v>
      </c>
      <c r="D6" s="148"/>
      <c r="E6" s="148"/>
      <c r="F6" s="149"/>
      <c r="G6" s="145" t="s">
        <v>9</v>
      </c>
      <c r="H6" s="145"/>
      <c r="I6" s="145"/>
      <c r="J6" s="145"/>
      <c r="K6" s="151"/>
      <c r="L6" s="172"/>
      <c r="M6" s="197"/>
    </row>
    <row r="7" spans="1:13">
      <c r="A7" s="162"/>
      <c r="B7" s="152"/>
      <c r="C7" s="128" t="s">
        <v>10</v>
      </c>
      <c r="D7" s="128" t="s">
        <v>11</v>
      </c>
      <c r="E7" s="128" t="s">
        <v>12</v>
      </c>
      <c r="F7" s="128" t="s">
        <v>13</v>
      </c>
      <c r="G7" s="128" t="s">
        <v>10</v>
      </c>
      <c r="H7" s="128" t="s">
        <v>11</v>
      </c>
      <c r="I7" s="128" t="s">
        <v>12</v>
      </c>
      <c r="J7" s="128" t="s">
        <v>13</v>
      </c>
      <c r="K7" s="152"/>
      <c r="L7" s="173"/>
      <c r="M7" s="192"/>
    </row>
    <row r="8" spans="1:13">
      <c r="A8" s="129">
        <v>1</v>
      </c>
      <c r="B8" s="130">
        <v>2</v>
      </c>
      <c r="C8" s="153">
        <v>3</v>
      </c>
      <c r="D8" s="154"/>
      <c r="E8" s="154"/>
      <c r="F8" s="155"/>
      <c r="G8" s="153">
        <v>4</v>
      </c>
      <c r="H8" s="154"/>
      <c r="I8" s="154"/>
      <c r="J8" s="155"/>
      <c r="K8" s="130">
        <v>5</v>
      </c>
      <c r="L8" s="130">
        <v>6</v>
      </c>
      <c r="M8" s="136">
        <v>7</v>
      </c>
    </row>
    <row r="9" spans="1:13">
      <c r="A9" s="186" t="s">
        <v>14</v>
      </c>
      <c r="B9" s="131" t="s">
        <v>15</v>
      </c>
      <c r="C9" s="158" t="s">
        <v>16</v>
      </c>
      <c r="D9" s="158" t="s">
        <v>16</v>
      </c>
      <c r="E9" s="158" t="s">
        <v>16</v>
      </c>
      <c r="F9" s="158" t="s">
        <v>16</v>
      </c>
      <c r="G9" s="158">
        <v>1000</v>
      </c>
      <c r="H9" s="158">
        <v>800</v>
      </c>
      <c r="I9" s="158">
        <v>700</v>
      </c>
      <c r="J9" s="158">
        <v>600</v>
      </c>
      <c r="K9" s="169">
        <v>500</v>
      </c>
      <c r="L9" s="191" t="s">
        <v>17</v>
      </c>
      <c r="M9" s="198" t="s">
        <v>43</v>
      </c>
    </row>
    <row r="10" spans="1:13">
      <c r="A10" s="187"/>
      <c r="B10" s="132" t="s">
        <v>44</v>
      </c>
      <c r="C10" s="159"/>
      <c r="D10" s="159"/>
      <c r="E10" s="159"/>
      <c r="F10" s="159"/>
      <c r="G10" s="159"/>
      <c r="H10" s="159"/>
      <c r="I10" s="159"/>
      <c r="J10" s="159"/>
      <c r="K10" s="170"/>
      <c r="L10" s="192"/>
      <c r="M10" s="199"/>
    </row>
    <row r="11" spans="1:13">
      <c r="A11" s="188" t="s">
        <v>45</v>
      </c>
      <c r="B11" s="131" t="s">
        <v>15</v>
      </c>
      <c r="C11" s="158">
        <v>2000</v>
      </c>
      <c r="D11" s="158">
        <v>1800</v>
      </c>
      <c r="E11" s="158">
        <v>1600</v>
      </c>
      <c r="F11" s="158">
        <v>1400</v>
      </c>
      <c r="G11" s="158">
        <v>350</v>
      </c>
      <c r="H11" s="158">
        <v>300</v>
      </c>
      <c r="I11" s="158">
        <v>275</v>
      </c>
      <c r="J11" s="158">
        <v>250</v>
      </c>
      <c r="K11" s="169">
        <v>200</v>
      </c>
      <c r="L11" s="137" t="s">
        <v>17</v>
      </c>
      <c r="M11" s="191" t="s">
        <v>45</v>
      </c>
    </row>
    <row r="12" spans="1:13">
      <c r="A12" s="189"/>
      <c r="B12" s="132" t="s">
        <v>46</v>
      </c>
      <c r="C12" s="159"/>
      <c r="D12" s="159"/>
      <c r="E12" s="159"/>
      <c r="F12" s="159"/>
      <c r="G12" s="159"/>
      <c r="H12" s="159"/>
      <c r="I12" s="159"/>
      <c r="J12" s="159"/>
      <c r="K12" s="170"/>
      <c r="L12" s="138" t="s">
        <v>19</v>
      </c>
      <c r="M12" s="192"/>
    </row>
    <row r="13" spans="1:13">
      <c r="A13" s="186" t="s">
        <v>21</v>
      </c>
      <c r="B13" s="131" t="s">
        <v>15</v>
      </c>
      <c r="C13" s="158">
        <v>2000</v>
      </c>
      <c r="D13" s="158">
        <v>1600</v>
      </c>
      <c r="E13" s="158">
        <v>1400</v>
      </c>
      <c r="F13" s="158">
        <v>1200</v>
      </c>
      <c r="G13" s="158">
        <v>350</v>
      </c>
      <c r="H13" s="158">
        <v>300</v>
      </c>
      <c r="I13" s="158">
        <v>250</v>
      </c>
      <c r="J13" s="158">
        <v>225</v>
      </c>
      <c r="K13" s="169">
        <v>200</v>
      </c>
      <c r="L13" s="137" t="s">
        <v>17</v>
      </c>
      <c r="M13" s="191" t="s">
        <v>47</v>
      </c>
    </row>
    <row r="14" spans="1:13">
      <c r="A14" s="187"/>
      <c r="B14" s="132" t="s">
        <v>48</v>
      </c>
      <c r="C14" s="159"/>
      <c r="D14" s="159"/>
      <c r="E14" s="159"/>
      <c r="F14" s="159"/>
      <c r="G14" s="159"/>
      <c r="H14" s="159"/>
      <c r="I14" s="159"/>
      <c r="J14" s="159"/>
      <c r="K14" s="170"/>
      <c r="L14" s="138" t="s">
        <v>19</v>
      </c>
      <c r="M14" s="192"/>
    </row>
    <row r="15" spans="1:13" ht="24" customHeight="1">
      <c r="A15" s="186" t="s">
        <v>22</v>
      </c>
      <c r="B15" s="131" t="s">
        <v>15</v>
      </c>
      <c r="C15" s="158">
        <v>1500</v>
      </c>
      <c r="D15" s="158">
        <v>1400</v>
      </c>
      <c r="E15" s="158">
        <v>1200</v>
      </c>
      <c r="F15" s="158">
        <v>1000</v>
      </c>
      <c r="G15" s="158">
        <v>300</v>
      </c>
      <c r="H15" s="158">
        <v>275</v>
      </c>
      <c r="I15" s="158">
        <v>250</v>
      </c>
      <c r="J15" s="158">
        <v>225</v>
      </c>
      <c r="K15" s="169">
        <v>175</v>
      </c>
      <c r="L15" s="137" t="s">
        <v>23</v>
      </c>
      <c r="M15" s="191" t="s">
        <v>49</v>
      </c>
    </row>
    <row r="16" spans="1:13" ht="21.95" customHeight="1">
      <c r="A16" s="187"/>
      <c r="B16" s="132" t="s">
        <v>50</v>
      </c>
      <c r="C16" s="159"/>
      <c r="D16" s="159"/>
      <c r="E16" s="159"/>
      <c r="F16" s="159"/>
      <c r="G16" s="159"/>
      <c r="H16" s="159"/>
      <c r="I16" s="159"/>
      <c r="J16" s="159"/>
      <c r="K16" s="170"/>
      <c r="L16" s="138" t="s">
        <v>19</v>
      </c>
      <c r="M16" s="192"/>
    </row>
    <row r="17" spans="1:13" ht="30" customHeight="1">
      <c r="A17" s="186" t="s">
        <v>24</v>
      </c>
      <c r="B17" s="131" t="s">
        <v>15</v>
      </c>
      <c r="C17" s="158">
        <v>1000</v>
      </c>
      <c r="D17" s="158">
        <v>900</v>
      </c>
      <c r="E17" s="158">
        <v>800</v>
      </c>
      <c r="F17" s="158">
        <v>700</v>
      </c>
      <c r="G17" s="158">
        <v>275</v>
      </c>
      <c r="H17" s="158">
        <v>250</v>
      </c>
      <c r="I17" s="158">
        <v>225</v>
      </c>
      <c r="J17" s="158">
        <v>200</v>
      </c>
      <c r="K17" s="191">
        <v>150</v>
      </c>
      <c r="L17" s="137" t="s">
        <v>23</v>
      </c>
      <c r="M17" s="191" t="s">
        <v>51</v>
      </c>
    </row>
    <row r="18" spans="1:13" ht="30" customHeight="1">
      <c r="A18" s="187"/>
      <c r="B18" s="132" t="s">
        <v>50</v>
      </c>
      <c r="C18" s="159"/>
      <c r="D18" s="159"/>
      <c r="E18" s="159"/>
      <c r="F18" s="159"/>
      <c r="G18" s="159"/>
      <c r="H18" s="159"/>
      <c r="I18" s="159"/>
      <c r="J18" s="159"/>
      <c r="K18" s="192"/>
      <c r="L18" s="138" t="s">
        <v>19</v>
      </c>
      <c r="M18" s="192"/>
    </row>
    <row r="19" spans="1:13" ht="21.95" customHeight="1">
      <c r="A19" s="188" t="s">
        <v>52</v>
      </c>
      <c r="B19" s="131" t="s">
        <v>15</v>
      </c>
      <c r="C19" s="158">
        <v>800</v>
      </c>
      <c r="D19" s="158">
        <v>700</v>
      </c>
      <c r="E19" s="158">
        <v>600</v>
      </c>
      <c r="F19" s="158">
        <v>500</v>
      </c>
      <c r="G19" s="158">
        <v>250</v>
      </c>
      <c r="H19" s="158">
        <v>200</v>
      </c>
      <c r="I19" s="158">
        <v>175</v>
      </c>
      <c r="J19" s="158">
        <v>150</v>
      </c>
      <c r="K19" s="191">
        <v>125</v>
      </c>
      <c r="L19" s="137" t="s">
        <v>23</v>
      </c>
      <c r="M19" s="191" t="s">
        <v>53</v>
      </c>
    </row>
    <row r="20" spans="1:13" ht="26.1" customHeight="1">
      <c r="A20" s="189"/>
      <c r="B20" s="132" t="s">
        <v>50</v>
      </c>
      <c r="C20" s="159"/>
      <c r="D20" s="159"/>
      <c r="E20" s="159"/>
      <c r="F20" s="159"/>
      <c r="G20" s="159"/>
      <c r="H20" s="159"/>
      <c r="I20" s="159"/>
      <c r="J20" s="159"/>
      <c r="K20" s="192"/>
      <c r="L20" s="138" t="s">
        <v>19</v>
      </c>
      <c r="M20" s="192"/>
    </row>
    <row r="21" spans="1:13">
      <c r="A21" s="188" t="s">
        <v>54</v>
      </c>
      <c r="B21" s="131" t="s">
        <v>15</v>
      </c>
      <c r="C21" s="158">
        <v>600</v>
      </c>
      <c r="D21" s="158">
        <v>500</v>
      </c>
      <c r="E21" s="158">
        <v>400</v>
      </c>
      <c r="F21" s="158">
        <v>350</v>
      </c>
      <c r="G21" s="158">
        <v>225</v>
      </c>
      <c r="H21" s="158">
        <v>200</v>
      </c>
      <c r="I21" s="158">
        <v>175</v>
      </c>
      <c r="J21" s="158">
        <v>150</v>
      </c>
      <c r="K21" s="191">
        <v>100</v>
      </c>
      <c r="L21" s="137" t="s">
        <v>23</v>
      </c>
      <c r="M21" s="191" t="s">
        <v>55</v>
      </c>
    </row>
    <row r="22" spans="1:13">
      <c r="A22" s="189"/>
      <c r="B22" s="132" t="s">
        <v>18</v>
      </c>
      <c r="C22" s="159"/>
      <c r="D22" s="159"/>
      <c r="E22" s="159"/>
      <c r="F22" s="159"/>
      <c r="G22" s="159"/>
      <c r="H22" s="159"/>
      <c r="I22" s="159"/>
      <c r="J22" s="159"/>
      <c r="K22" s="192"/>
      <c r="L22" s="138" t="s">
        <v>19</v>
      </c>
      <c r="M22" s="192"/>
    </row>
    <row r="23" spans="1:13">
      <c r="A23" s="188" t="s">
        <v>56</v>
      </c>
      <c r="B23" s="131" t="s">
        <v>57</v>
      </c>
      <c r="C23" s="158">
        <v>500</v>
      </c>
      <c r="D23" s="158">
        <v>400</v>
      </c>
      <c r="E23" s="158">
        <v>350</v>
      </c>
      <c r="F23" s="158">
        <v>300</v>
      </c>
      <c r="G23" s="158">
        <v>200</v>
      </c>
      <c r="H23" s="158">
        <v>175</v>
      </c>
      <c r="I23" s="158">
        <v>150</v>
      </c>
      <c r="J23" s="158">
        <v>125</v>
      </c>
      <c r="K23" s="191">
        <v>100</v>
      </c>
      <c r="L23" s="137" t="s">
        <v>23</v>
      </c>
      <c r="M23" s="191" t="s">
        <v>58</v>
      </c>
    </row>
    <row r="24" spans="1:13">
      <c r="A24" s="189"/>
      <c r="B24" s="132" t="s">
        <v>18</v>
      </c>
      <c r="C24" s="159"/>
      <c r="D24" s="159"/>
      <c r="E24" s="159"/>
      <c r="F24" s="159"/>
      <c r="G24" s="159"/>
      <c r="H24" s="159"/>
      <c r="I24" s="159"/>
      <c r="J24" s="159"/>
      <c r="K24" s="192"/>
      <c r="L24" s="139" t="s">
        <v>19</v>
      </c>
      <c r="M24" s="192"/>
    </row>
    <row r="25" spans="1:13">
      <c r="A25" s="188" t="s">
        <v>59</v>
      </c>
      <c r="B25" s="131" t="s">
        <v>57</v>
      </c>
      <c r="C25" s="158">
        <v>350</v>
      </c>
      <c r="D25" s="158">
        <v>300</v>
      </c>
      <c r="E25" s="158">
        <v>250</v>
      </c>
      <c r="F25" s="158">
        <v>200</v>
      </c>
      <c r="G25" s="158">
        <v>175</v>
      </c>
      <c r="H25" s="158">
        <v>150</v>
      </c>
      <c r="I25" s="158">
        <v>125</v>
      </c>
      <c r="J25" s="158">
        <v>100</v>
      </c>
      <c r="K25" s="193">
        <v>75</v>
      </c>
      <c r="L25" s="137" t="s">
        <v>23</v>
      </c>
      <c r="M25" s="195" t="s">
        <v>60</v>
      </c>
    </row>
    <row r="26" spans="1:13">
      <c r="A26" s="189"/>
      <c r="B26" s="132" t="s">
        <v>18</v>
      </c>
      <c r="C26" s="159"/>
      <c r="D26" s="159"/>
      <c r="E26" s="159"/>
      <c r="F26" s="159"/>
      <c r="G26" s="159"/>
      <c r="H26" s="159"/>
      <c r="I26" s="159"/>
      <c r="J26" s="159"/>
      <c r="K26" s="194"/>
      <c r="L26" s="138" t="s">
        <v>23</v>
      </c>
      <c r="M26" s="196"/>
    </row>
    <row r="27" spans="1:13">
      <c r="A27" s="133"/>
      <c r="C27" s="134"/>
      <c r="D27" s="134"/>
      <c r="E27" s="134"/>
      <c r="F27" s="134"/>
      <c r="G27" s="134"/>
      <c r="H27" s="134"/>
      <c r="I27" s="134"/>
      <c r="J27" s="134"/>
      <c r="K27" s="134"/>
      <c r="L27" s="140"/>
      <c r="M27" s="6"/>
    </row>
    <row r="28" spans="1:13">
      <c r="A28" s="5" t="s">
        <v>27</v>
      </c>
      <c r="B28" s="156" t="s">
        <v>61</v>
      </c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80"/>
    </row>
    <row r="29" spans="1:13">
      <c r="A29" s="5"/>
      <c r="B29" s="157" t="s">
        <v>29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81"/>
    </row>
    <row r="30" spans="1:13">
      <c r="A30" s="5"/>
      <c r="B30" s="156" t="s">
        <v>30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80"/>
    </row>
    <row r="31" spans="1:13">
      <c r="A31" s="5"/>
      <c r="B31" s="157" t="s">
        <v>62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81"/>
    </row>
    <row r="32" spans="1:13">
      <c r="A32" s="5"/>
      <c r="B32" s="156" t="s">
        <v>63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80"/>
    </row>
    <row r="33" spans="1:13">
      <c r="A33" s="5"/>
      <c r="B33" s="156" t="s">
        <v>64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80"/>
    </row>
    <row r="34" spans="1:13">
      <c r="A34" s="5"/>
      <c r="B34" s="156" t="s">
        <v>65</v>
      </c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80"/>
    </row>
    <row r="35" spans="1:13">
      <c r="A35" s="5"/>
      <c r="B35" s="156" t="s">
        <v>66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80"/>
    </row>
    <row r="36" spans="1:13">
      <c r="A36" s="133"/>
      <c r="B36" t="s">
        <v>67</v>
      </c>
      <c r="M36" s="6"/>
    </row>
    <row r="37" spans="1:13">
      <c r="A37" s="133"/>
      <c r="L37" s="154" t="s">
        <v>68</v>
      </c>
      <c r="M37" s="182"/>
    </row>
    <row r="38" spans="1:13">
      <c r="A38" s="133"/>
      <c r="L38" s="154" t="s">
        <v>69</v>
      </c>
      <c r="M38" s="182"/>
    </row>
    <row r="39" spans="1:13">
      <c r="A39" s="135"/>
      <c r="B39" s="8"/>
      <c r="C39" s="8"/>
      <c r="D39" s="8"/>
      <c r="E39" s="8"/>
      <c r="F39" s="8"/>
      <c r="G39" s="8"/>
      <c r="H39" s="8"/>
      <c r="I39" s="8"/>
      <c r="J39" s="8"/>
      <c r="K39" s="8"/>
      <c r="L39" s="183" t="s">
        <v>37</v>
      </c>
      <c r="M39" s="184"/>
    </row>
  </sheetData>
  <mergeCells count="125">
    <mergeCell ref="M23:M24"/>
    <mergeCell ref="M25:M26"/>
    <mergeCell ref="L9:L10"/>
    <mergeCell ref="M5:M7"/>
    <mergeCell ref="M9:M10"/>
    <mergeCell ref="M11:M12"/>
    <mergeCell ref="M13:M14"/>
    <mergeCell ref="M15:M16"/>
    <mergeCell ref="M17:M18"/>
    <mergeCell ref="M19:M20"/>
    <mergeCell ref="M21:M22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D13:D14"/>
    <mergeCell ref="D15:D16"/>
    <mergeCell ref="D17:D18"/>
    <mergeCell ref="D19:D20"/>
    <mergeCell ref="D21:D22"/>
    <mergeCell ref="D23:D24"/>
    <mergeCell ref="D25:D26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L38:M38"/>
    <mergeCell ref="L39:M39"/>
    <mergeCell ref="A5:A7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5:B7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D9:D10"/>
    <mergeCell ref="D11:D12"/>
    <mergeCell ref="B28:M28"/>
    <mergeCell ref="B29:M29"/>
    <mergeCell ref="B30:M30"/>
    <mergeCell ref="B31:M31"/>
    <mergeCell ref="B32:M32"/>
    <mergeCell ref="B33:M33"/>
    <mergeCell ref="B34:M34"/>
    <mergeCell ref="B35:M35"/>
    <mergeCell ref="L37:M37"/>
    <mergeCell ref="C2:M2"/>
    <mergeCell ref="C3:M3"/>
    <mergeCell ref="C4:M4"/>
    <mergeCell ref="C5:F5"/>
    <mergeCell ref="G5:J5"/>
    <mergeCell ref="C6:F6"/>
    <mergeCell ref="G6:J6"/>
    <mergeCell ref="C8:F8"/>
    <mergeCell ref="G8:J8"/>
    <mergeCell ref="K5:K7"/>
    <mergeCell ref="L5:L7"/>
  </mergeCells>
  <pageMargins left="0" right="0" top="1" bottom="0.5" header="0.5" footer="0.5"/>
  <pageSetup scale="7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57"/>
  <sheetViews>
    <sheetView tabSelected="1" workbookViewId="0">
      <selection activeCell="H19" sqref="H19"/>
    </sheetView>
  </sheetViews>
  <sheetFormatPr defaultColWidth="9" defaultRowHeight="15"/>
  <cols>
    <col min="1" max="1" width="2.7109375" customWidth="1"/>
    <col min="2" max="2" width="8.140625" customWidth="1"/>
    <col min="3" max="3" width="6.7109375" customWidth="1"/>
    <col min="4" max="4" width="10.28515625" customWidth="1"/>
    <col min="5" max="5" width="9.28515625" customWidth="1"/>
    <col min="6" max="6" width="5.28515625" customWidth="1"/>
    <col min="7" max="7" width="10.85546875" customWidth="1"/>
    <col min="8" max="8" width="9.85546875" customWidth="1"/>
    <col min="9" max="9" width="6" customWidth="1"/>
    <col min="10" max="10" width="6.42578125" customWidth="1"/>
    <col min="11" max="11" width="5.7109375" style="71" customWidth="1"/>
    <col min="12" max="14" width="6" customWidth="1"/>
    <col min="15" max="15" width="5.5703125" customWidth="1"/>
    <col min="16" max="16" width="8.5703125" customWidth="1"/>
    <col min="17" max="17" width="7" customWidth="1"/>
    <col min="18" max="18" width="8.42578125" customWidth="1"/>
  </cols>
  <sheetData>
    <row r="1" spans="2:18">
      <c r="B1" s="204"/>
      <c r="C1" s="205"/>
      <c r="D1" s="206"/>
      <c r="E1" s="225" t="s">
        <v>70</v>
      </c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7"/>
    </row>
    <row r="2" spans="2:18">
      <c r="B2" s="72"/>
      <c r="C2" s="73"/>
      <c r="D2" s="74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30"/>
    </row>
    <row r="3" spans="2:18">
      <c r="B3" s="72"/>
      <c r="C3" s="73"/>
      <c r="D3" s="74"/>
      <c r="E3" s="72"/>
      <c r="F3" s="73"/>
      <c r="G3" s="73"/>
      <c r="H3" s="73"/>
      <c r="I3" s="73"/>
      <c r="J3" s="73"/>
      <c r="K3" s="105"/>
      <c r="L3" s="73"/>
      <c r="M3" s="73"/>
      <c r="N3" s="73"/>
      <c r="O3" s="73"/>
      <c r="P3" s="73"/>
      <c r="Q3" s="73"/>
      <c r="R3" s="74"/>
    </row>
    <row r="4" spans="2:18" ht="21.95" customHeight="1">
      <c r="B4" s="75"/>
      <c r="C4" s="76"/>
      <c r="D4" s="77"/>
      <c r="E4" s="207" t="s">
        <v>71</v>
      </c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9"/>
    </row>
    <row r="5" spans="2:18">
      <c r="B5" s="72"/>
      <c r="C5" s="73"/>
      <c r="D5" s="73"/>
      <c r="E5" s="73"/>
      <c r="F5" s="73"/>
      <c r="G5" s="73"/>
      <c r="H5" s="73"/>
      <c r="I5" s="210"/>
      <c r="J5" s="210"/>
      <c r="K5" s="105"/>
      <c r="L5" s="73"/>
      <c r="M5" s="73"/>
      <c r="N5" s="73"/>
      <c r="O5" s="211" t="s">
        <v>72</v>
      </c>
      <c r="P5" s="211"/>
      <c r="Q5" s="212"/>
      <c r="R5" s="213"/>
    </row>
    <row r="6" spans="2:18">
      <c r="B6" s="78" t="s">
        <v>73</v>
      </c>
      <c r="C6" s="243"/>
      <c r="D6" s="243"/>
      <c r="E6" s="243"/>
      <c r="F6" s="244" t="s">
        <v>74</v>
      </c>
      <c r="G6" s="244"/>
      <c r="H6" s="244"/>
      <c r="I6" s="244"/>
      <c r="J6" s="244"/>
      <c r="K6" s="244"/>
      <c r="L6" s="244"/>
      <c r="M6" s="105"/>
      <c r="N6" s="105"/>
      <c r="O6" s="73"/>
      <c r="P6" s="73"/>
      <c r="Q6" s="73"/>
      <c r="R6" s="74"/>
    </row>
    <row r="7" spans="2:18">
      <c r="B7" s="72"/>
      <c r="C7" s="73"/>
      <c r="D7" s="73"/>
      <c r="E7" s="73"/>
      <c r="F7" s="73"/>
      <c r="G7" s="73"/>
      <c r="H7" s="73"/>
      <c r="I7" s="73"/>
      <c r="J7" s="73"/>
      <c r="K7" s="105"/>
      <c r="L7" s="73"/>
      <c r="M7" s="73"/>
      <c r="N7" s="73"/>
      <c r="O7" s="73"/>
      <c r="P7" s="73"/>
      <c r="Q7" s="73"/>
      <c r="R7" s="74"/>
    </row>
    <row r="8" spans="2:18">
      <c r="B8" s="72"/>
      <c r="C8" s="73"/>
      <c r="D8" s="200"/>
      <c r="E8" s="200"/>
      <c r="F8" s="201" t="s">
        <v>75</v>
      </c>
      <c r="G8" s="201"/>
      <c r="H8" s="202"/>
      <c r="I8" s="202"/>
      <c r="J8" s="202"/>
      <c r="K8" s="202"/>
      <c r="L8" s="202"/>
      <c r="M8" s="202"/>
      <c r="N8" s="202"/>
      <c r="O8" s="203"/>
      <c r="P8" s="73"/>
      <c r="Q8" s="73"/>
      <c r="R8" s="74"/>
    </row>
    <row r="9" spans="2:18" s="70" customFormat="1" ht="12">
      <c r="B9" s="235" t="s">
        <v>76</v>
      </c>
      <c r="C9" s="236"/>
      <c r="D9" s="236"/>
      <c r="E9" s="236" t="s">
        <v>77</v>
      </c>
      <c r="F9" s="236"/>
      <c r="G9" s="236"/>
      <c r="H9" s="240" t="s">
        <v>78</v>
      </c>
      <c r="I9" s="236" t="s">
        <v>79</v>
      </c>
      <c r="J9" s="236"/>
      <c r="K9" s="236"/>
      <c r="L9" s="236"/>
      <c r="M9" s="237" t="s">
        <v>80</v>
      </c>
      <c r="N9" s="238"/>
      <c r="O9" s="242" t="s">
        <v>81</v>
      </c>
      <c r="P9" s="239" t="s">
        <v>82</v>
      </c>
      <c r="Q9" s="239"/>
      <c r="R9" s="224" t="s">
        <v>83</v>
      </c>
    </row>
    <row r="10" spans="2:18" s="70" customFormat="1" ht="15" customHeight="1">
      <c r="B10" s="79" t="s">
        <v>84</v>
      </c>
      <c r="C10" s="80" t="s">
        <v>85</v>
      </c>
      <c r="D10" s="80" t="s">
        <v>86</v>
      </c>
      <c r="E10" s="81" t="s">
        <v>84</v>
      </c>
      <c r="F10" s="80" t="s">
        <v>85</v>
      </c>
      <c r="G10" s="80" t="s">
        <v>86</v>
      </c>
      <c r="H10" s="241"/>
      <c r="I10" s="81" t="s">
        <v>87</v>
      </c>
      <c r="J10" s="107" t="s">
        <v>88</v>
      </c>
      <c r="K10" s="108" t="s">
        <v>89</v>
      </c>
      <c r="L10" s="109" t="s">
        <v>90</v>
      </c>
      <c r="M10" s="109" t="s">
        <v>91</v>
      </c>
      <c r="N10" s="109" t="s">
        <v>90</v>
      </c>
      <c r="O10" s="242"/>
      <c r="P10" s="106" t="s">
        <v>92</v>
      </c>
      <c r="Q10" s="118" t="s">
        <v>90</v>
      </c>
      <c r="R10" s="224"/>
    </row>
    <row r="11" spans="2:18">
      <c r="B11" s="82"/>
      <c r="C11" s="83"/>
      <c r="D11" s="84"/>
      <c r="E11" s="85"/>
      <c r="F11" s="83"/>
      <c r="G11" s="83"/>
      <c r="H11" s="84"/>
      <c r="I11" s="83"/>
      <c r="J11" s="83"/>
      <c r="K11" s="110">
        <v>1</v>
      </c>
      <c r="L11" s="111">
        <f>K11*3.25</f>
        <v>3.25</v>
      </c>
      <c r="M11" s="111"/>
      <c r="N11" s="111"/>
      <c r="O11" s="83"/>
      <c r="P11" s="84"/>
      <c r="Q11" s="84"/>
      <c r="R11" s="119">
        <f t="shared" ref="R11:R41" si="0">Q11+O11+N11+L11</f>
        <v>3.25</v>
      </c>
    </row>
    <row r="12" spans="2:18">
      <c r="B12" s="82"/>
      <c r="C12" s="86"/>
      <c r="D12" s="84"/>
      <c r="E12" s="85"/>
      <c r="F12" s="86"/>
      <c r="G12" s="84"/>
      <c r="H12" s="84"/>
      <c r="I12" s="83"/>
      <c r="J12" s="83"/>
      <c r="K12" s="110">
        <f t="shared" ref="K11:K41" si="1">J12-I12</f>
        <v>0</v>
      </c>
      <c r="L12" s="111">
        <f t="shared" ref="L12:L41" si="2">K12*3.25</f>
        <v>0</v>
      </c>
      <c r="M12" s="111"/>
      <c r="N12" s="111"/>
      <c r="O12" s="83"/>
      <c r="P12" s="84"/>
      <c r="Q12" s="84"/>
      <c r="R12" s="119">
        <f t="shared" si="0"/>
        <v>0</v>
      </c>
    </row>
    <row r="13" spans="2:18">
      <c r="B13" s="82"/>
      <c r="C13" s="86"/>
      <c r="D13" s="84"/>
      <c r="E13" s="85"/>
      <c r="F13" s="86"/>
      <c r="G13" s="83"/>
      <c r="H13" s="84"/>
      <c r="I13" s="83"/>
      <c r="J13" s="83"/>
      <c r="K13" s="110">
        <f t="shared" si="1"/>
        <v>0</v>
      </c>
      <c r="L13" s="111">
        <f t="shared" si="2"/>
        <v>0</v>
      </c>
      <c r="M13" s="111"/>
      <c r="N13" s="111"/>
      <c r="O13" s="83"/>
      <c r="P13" s="84"/>
      <c r="Q13" s="84"/>
      <c r="R13" s="119">
        <f t="shared" si="0"/>
        <v>0</v>
      </c>
    </row>
    <row r="14" spans="2:18">
      <c r="B14" s="82"/>
      <c r="C14" s="86"/>
      <c r="D14" s="84"/>
      <c r="E14" s="85"/>
      <c r="F14" s="86"/>
      <c r="G14" s="84"/>
      <c r="H14" s="84"/>
      <c r="I14" s="83"/>
      <c r="J14" s="83"/>
      <c r="K14" s="110">
        <f t="shared" si="1"/>
        <v>0</v>
      </c>
      <c r="L14" s="111">
        <f t="shared" si="2"/>
        <v>0</v>
      </c>
      <c r="M14" s="111"/>
      <c r="N14" s="111"/>
      <c r="O14" s="83"/>
      <c r="P14" s="84"/>
      <c r="Q14" s="84"/>
      <c r="R14" s="119">
        <f t="shared" si="0"/>
        <v>0</v>
      </c>
    </row>
    <row r="15" spans="2:18">
      <c r="B15" s="82"/>
      <c r="C15" s="86"/>
      <c r="D15" s="84"/>
      <c r="E15" s="85"/>
      <c r="F15" s="86"/>
      <c r="G15" s="84"/>
      <c r="H15" s="84"/>
      <c r="I15" s="83"/>
      <c r="J15" s="83"/>
      <c r="K15" s="110">
        <f t="shared" si="1"/>
        <v>0</v>
      </c>
      <c r="L15" s="111">
        <f t="shared" si="2"/>
        <v>0</v>
      </c>
      <c r="M15" s="111"/>
      <c r="N15" s="111"/>
      <c r="O15" s="83"/>
      <c r="P15" s="84"/>
      <c r="Q15" s="84"/>
      <c r="R15" s="119">
        <f t="shared" si="0"/>
        <v>0</v>
      </c>
    </row>
    <row r="16" spans="2:18">
      <c r="B16" s="87"/>
      <c r="C16" s="86"/>
      <c r="D16" s="84"/>
      <c r="E16" s="88"/>
      <c r="F16" s="86"/>
      <c r="G16" s="84"/>
      <c r="H16" s="84"/>
      <c r="I16" s="83"/>
      <c r="J16" s="83"/>
      <c r="K16" s="110">
        <f t="shared" si="1"/>
        <v>0</v>
      </c>
      <c r="L16" s="111">
        <f t="shared" si="2"/>
        <v>0</v>
      </c>
      <c r="M16" s="111"/>
      <c r="N16" s="111"/>
      <c r="O16" s="84"/>
      <c r="P16" s="84"/>
      <c r="Q16" s="84"/>
      <c r="R16" s="119">
        <f t="shared" si="0"/>
        <v>0</v>
      </c>
    </row>
    <row r="17" spans="2:18">
      <c r="B17" s="87"/>
      <c r="C17" s="86"/>
      <c r="D17" s="84"/>
      <c r="E17" s="88"/>
      <c r="F17" s="86"/>
      <c r="G17" s="84"/>
      <c r="H17" s="84"/>
      <c r="I17" s="83"/>
      <c r="J17" s="83"/>
      <c r="K17" s="110">
        <f t="shared" si="1"/>
        <v>0</v>
      </c>
      <c r="L17" s="111">
        <f t="shared" si="2"/>
        <v>0</v>
      </c>
      <c r="M17" s="111"/>
      <c r="N17" s="111"/>
      <c r="O17" s="84"/>
      <c r="P17" s="84"/>
      <c r="Q17" s="84"/>
      <c r="R17" s="119">
        <f t="shared" si="0"/>
        <v>0</v>
      </c>
    </row>
    <row r="18" spans="2:18">
      <c r="B18" s="87"/>
      <c r="C18" s="86"/>
      <c r="D18" s="84"/>
      <c r="E18" s="88"/>
      <c r="F18" s="86"/>
      <c r="G18" s="84"/>
      <c r="H18" s="84"/>
      <c r="I18" s="83"/>
      <c r="J18" s="83"/>
      <c r="K18" s="110">
        <f t="shared" si="1"/>
        <v>0</v>
      </c>
      <c r="L18" s="111">
        <f t="shared" si="2"/>
        <v>0</v>
      </c>
      <c r="M18" s="111"/>
      <c r="N18" s="111"/>
      <c r="O18" s="84"/>
      <c r="P18" s="84"/>
      <c r="Q18" s="84"/>
      <c r="R18" s="119">
        <f t="shared" si="0"/>
        <v>0</v>
      </c>
    </row>
    <row r="19" spans="2:18">
      <c r="B19" s="87"/>
      <c r="C19" s="86"/>
      <c r="D19" s="84"/>
      <c r="E19" s="88"/>
      <c r="F19" s="86"/>
      <c r="G19" s="84"/>
      <c r="H19" s="84"/>
      <c r="I19" s="83"/>
      <c r="J19" s="83"/>
      <c r="K19" s="110">
        <f t="shared" si="1"/>
        <v>0</v>
      </c>
      <c r="L19" s="111">
        <f t="shared" si="2"/>
        <v>0</v>
      </c>
      <c r="M19" s="111"/>
      <c r="N19" s="111"/>
      <c r="O19" s="84"/>
      <c r="P19" s="84"/>
      <c r="Q19" s="84"/>
      <c r="R19" s="119">
        <f t="shared" si="0"/>
        <v>0</v>
      </c>
    </row>
    <row r="20" spans="2:18">
      <c r="B20" s="89"/>
      <c r="C20" s="86"/>
      <c r="D20" s="84"/>
      <c r="E20" s="83"/>
      <c r="F20" s="86"/>
      <c r="G20" s="84"/>
      <c r="H20" s="84"/>
      <c r="I20" s="83"/>
      <c r="J20" s="83"/>
      <c r="K20" s="110">
        <f t="shared" si="1"/>
        <v>0</v>
      </c>
      <c r="L20" s="111">
        <f t="shared" si="2"/>
        <v>0</v>
      </c>
      <c r="M20" s="111"/>
      <c r="N20" s="111"/>
      <c r="O20" s="83"/>
      <c r="P20" s="84"/>
      <c r="Q20" s="84"/>
      <c r="R20" s="119">
        <f t="shared" si="0"/>
        <v>0</v>
      </c>
    </row>
    <row r="21" spans="2:18">
      <c r="B21" s="89"/>
      <c r="C21" s="86"/>
      <c r="D21" s="84"/>
      <c r="E21" s="83"/>
      <c r="F21" s="86"/>
      <c r="G21" s="84"/>
      <c r="H21" s="84"/>
      <c r="I21" s="83"/>
      <c r="J21" s="83"/>
      <c r="K21" s="110">
        <f t="shared" si="1"/>
        <v>0</v>
      </c>
      <c r="L21" s="111">
        <f t="shared" si="2"/>
        <v>0</v>
      </c>
      <c r="M21" s="111"/>
      <c r="N21" s="111"/>
      <c r="O21" s="83"/>
      <c r="P21" s="84"/>
      <c r="Q21" s="84"/>
      <c r="R21" s="119">
        <f t="shared" si="0"/>
        <v>0</v>
      </c>
    </row>
    <row r="22" spans="2:18">
      <c r="B22" s="89"/>
      <c r="C22" s="86"/>
      <c r="D22" s="84"/>
      <c r="E22" s="83"/>
      <c r="F22" s="86"/>
      <c r="G22" s="84"/>
      <c r="H22" s="84"/>
      <c r="I22" s="83"/>
      <c r="J22" s="83"/>
      <c r="K22" s="110">
        <f t="shared" si="1"/>
        <v>0</v>
      </c>
      <c r="L22" s="111">
        <f t="shared" si="2"/>
        <v>0</v>
      </c>
      <c r="M22" s="111"/>
      <c r="N22" s="111"/>
      <c r="O22" s="83"/>
      <c r="P22" s="84"/>
      <c r="Q22" s="84"/>
      <c r="R22" s="119">
        <f t="shared" si="0"/>
        <v>0</v>
      </c>
    </row>
    <row r="23" spans="2:18">
      <c r="B23" s="89"/>
      <c r="C23" s="86"/>
      <c r="D23" s="84"/>
      <c r="E23" s="83"/>
      <c r="F23" s="86"/>
      <c r="G23" s="84"/>
      <c r="H23" s="84"/>
      <c r="I23" s="83"/>
      <c r="J23" s="83"/>
      <c r="K23" s="110">
        <f t="shared" si="1"/>
        <v>0</v>
      </c>
      <c r="L23" s="111">
        <f t="shared" si="2"/>
        <v>0</v>
      </c>
      <c r="M23" s="111"/>
      <c r="N23" s="111"/>
      <c r="O23" s="83"/>
      <c r="P23" s="84"/>
      <c r="Q23" s="84"/>
      <c r="R23" s="119">
        <f t="shared" si="0"/>
        <v>0</v>
      </c>
    </row>
    <row r="24" spans="2:18">
      <c r="B24" s="89"/>
      <c r="C24" s="86"/>
      <c r="D24" s="84"/>
      <c r="E24" s="83"/>
      <c r="F24" s="86"/>
      <c r="G24" s="84"/>
      <c r="H24" s="84"/>
      <c r="I24" s="83"/>
      <c r="J24" s="83"/>
      <c r="K24" s="110">
        <f t="shared" si="1"/>
        <v>0</v>
      </c>
      <c r="L24" s="111">
        <f t="shared" si="2"/>
        <v>0</v>
      </c>
      <c r="M24" s="111"/>
      <c r="N24" s="111"/>
      <c r="O24" s="83"/>
      <c r="P24" s="84"/>
      <c r="Q24" s="84"/>
      <c r="R24" s="119">
        <f t="shared" si="0"/>
        <v>0</v>
      </c>
    </row>
    <row r="25" spans="2:18">
      <c r="B25" s="87"/>
      <c r="C25" s="86"/>
      <c r="D25" s="84"/>
      <c r="E25" s="88"/>
      <c r="F25" s="86"/>
      <c r="G25" s="84"/>
      <c r="H25" s="84"/>
      <c r="I25" s="83"/>
      <c r="J25" s="83"/>
      <c r="K25" s="110">
        <f t="shared" si="1"/>
        <v>0</v>
      </c>
      <c r="L25" s="111">
        <f t="shared" si="2"/>
        <v>0</v>
      </c>
      <c r="M25" s="111"/>
      <c r="N25" s="111"/>
      <c r="O25" s="83"/>
      <c r="P25" s="84"/>
      <c r="Q25" s="84"/>
      <c r="R25" s="119">
        <f t="shared" si="0"/>
        <v>0</v>
      </c>
    </row>
    <row r="26" spans="2:18">
      <c r="B26" s="87"/>
      <c r="C26" s="86"/>
      <c r="D26" s="84"/>
      <c r="E26" s="88"/>
      <c r="F26" s="86"/>
      <c r="G26" s="84"/>
      <c r="H26" s="84"/>
      <c r="I26" s="83"/>
      <c r="J26" s="83"/>
      <c r="K26" s="110">
        <f t="shared" si="1"/>
        <v>0</v>
      </c>
      <c r="L26" s="111">
        <f t="shared" si="2"/>
        <v>0</v>
      </c>
      <c r="M26" s="111"/>
      <c r="N26" s="111"/>
      <c r="O26" s="83"/>
      <c r="P26" s="84"/>
      <c r="Q26" s="84"/>
      <c r="R26" s="119">
        <f t="shared" si="0"/>
        <v>0</v>
      </c>
    </row>
    <row r="27" spans="2:18">
      <c r="B27" s="87"/>
      <c r="C27" s="86"/>
      <c r="D27" s="84"/>
      <c r="E27" s="88"/>
      <c r="F27" s="86"/>
      <c r="G27" s="84"/>
      <c r="H27" s="84"/>
      <c r="I27" s="83"/>
      <c r="J27" s="83"/>
      <c r="K27" s="110">
        <f t="shared" si="1"/>
        <v>0</v>
      </c>
      <c r="L27" s="111">
        <f t="shared" si="2"/>
        <v>0</v>
      </c>
      <c r="M27" s="111"/>
      <c r="N27" s="111"/>
      <c r="O27" s="83"/>
      <c r="P27" s="84"/>
      <c r="Q27" s="84"/>
      <c r="R27" s="119">
        <f t="shared" si="0"/>
        <v>0</v>
      </c>
    </row>
    <row r="28" spans="2:18">
      <c r="B28" s="87"/>
      <c r="C28" s="86"/>
      <c r="D28" s="84"/>
      <c r="E28" s="88"/>
      <c r="F28" s="90"/>
      <c r="G28" s="84"/>
      <c r="H28" s="84"/>
      <c r="I28" s="83"/>
      <c r="J28" s="83"/>
      <c r="K28" s="110">
        <f t="shared" si="1"/>
        <v>0</v>
      </c>
      <c r="L28" s="111">
        <f t="shared" si="2"/>
        <v>0</v>
      </c>
      <c r="M28" s="111"/>
      <c r="N28" s="111"/>
      <c r="O28" s="83"/>
      <c r="P28" s="84"/>
      <c r="Q28" s="84"/>
      <c r="R28" s="119">
        <f t="shared" si="0"/>
        <v>0</v>
      </c>
    </row>
    <row r="29" spans="2:18">
      <c r="B29" s="82"/>
      <c r="C29" s="83"/>
      <c r="D29" s="84"/>
      <c r="E29" s="85"/>
      <c r="F29" s="86"/>
      <c r="G29" s="84"/>
      <c r="H29" s="84"/>
      <c r="I29" s="83"/>
      <c r="J29" s="83"/>
      <c r="K29" s="110">
        <f t="shared" si="1"/>
        <v>0</v>
      </c>
      <c r="L29" s="111">
        <f t="shared" si="2"/>
        <v>0</v>
      </c>
      <c r="M29" s="111"/>
      <c r="N29" s="111"/>
      <c r="O29" s="83"/>
      <c r="P29" s="84"/>
      <c r="Q29" s="84"/>
      <c r="R29" s="119">
        <f t="shared" si="0"/>
        <v>0</v>
      </c>
    </row>
    <row r="30" spans="2:18">
      <c r="B30" s="82"/>
      <c r="C30" s="83"/>
      <c r="D30" s="84"/>
      <c r="E30" s="85"/>
      <c r="F30" s="86"/>
      <c r="G30" s="84"/>
      <c r="H30" s="84"/>
      <c r="I30" s="83"/>
      <c r="J30" s="83"/>
      <c r="K30" s="110">
        <f t="shared" si="1"/>
        <v>0</v>
      </c>
      <c r="L30" s="111">
        <f t="shared" si="2"/>
        <v>0</v>
      </c>
      <c r="M30" s="111"/>
      <c r="N30" s="111"/>
      <c r="O30" s="83"/>
      <c r="P30" s="84"/>
      <c r="Q30" s="84"/>
      <c r="R30" s="119">
        <f t="shared" si="0"/>
        <v>0</v>
      </c>
    </row>
    <row r="31" spans="2:18">
      <c r="B31" s="82"/>
      <c r="C31" s="86"/>
      <c r="D31" s="84"/>
      <c r="E31" s="85"/>
      <c r="F31" s="86"/>
      <c r="G31" s="84"/>
      <c r="H31" s="84"/>
      <c r="I31" s="83"/>
      <c r="J31" s="83"/>
      <c r="K31" s="110">
        <f t="shared" si="1"/>
        <v>0</v>
      </c>
      <c r="L31" s="111">
        <f t="shared" si="2"/>
        <v>0</v>
      </c>
      <c r="M31" s="111"/>
      <c r="N31" s="111"/>
      <c r="O31" s="83"/>
      <c r="P31" s="84"/>
      <c r="Q31" s="84"/>
      <c r="R31" s="119">
        <f t="shared" si="0"/>
        <v>0</v>
      </c>
    </row>
    <row r="32" spans="2:18">
      <c r="B32" s="82"/>
      <c r="C32" s="86"/>
      <c r="D32" s="84"/>
      <c r="E32" s="85"/>
      <c r="F32" s="86"/>
      <c r="G32" s="84"/>
      <c r="H32" s="84"/>
      <c r="I32" s="83"/>
      <c r="J32" s="83"/>
      <c r="K32" s="110">
        <f t="shared" si="1"/>
        <v>0</v>
      </c>
      <c r="L32" s="111">
        <f t="shared" si="2"/>
        <v>0</v>
      </c>
      <c r="M32" s="111"/>
      <c r="N32" s="111"/>
      <c r="O32" s="83"/>
      <c r="P32" s="84"/>
      <c r="Q32" s="84"/>
      <c r="R32" s="119">
        <f t="shared" si="0"/>
        <v>0</v>
      </c>
    </row>
    <row r="33" spans="2:18">
      <c r="B33" s="82"/>
      <c r="C33" s="86"/>
      <c r="D33" s="84"/>
      <c r="E33" s="85"/>
      <c r="F33" s="86"/>
      <c r="G33" s="84"/>
      <c r="H33" s="84"/>
      <c r="I33" s="83"/>
      <c r="J33" s="83"/>
      <c r="K33" s="110">
        <f t="shared" si="1"/>
        <v>0</v>
      </c>
      <c r="L33" s="111">
        <f t="shared" si="2"/>
        <v>0</v>
      </c>
      <c r="M33" s="111"/>
      <c r="N33" s="111"/>
      <c r="O33" s="83"/>
      <c r="P33" s="84"/>
      <c r="Q33" s="84"/>
      <c r="R33" s="119">
        <f t="shared" si="0"/>
        <v>0</v>
      </c>
    </row>
    <row r="34" spans="2:18">
      <c r="B34" s="89"/>
      <c r="C34" s="86"/>
      <c r="D34" s="84"/>
      <c r="E34" s="83"/>
      <c r="F34" s="86"/>
      <c r="G34" s="84"/>
      <c r="H34" s="84"/>
      <c r="I34" s="83"/>
      <c r="J34" s="83"/>
      <c r="K34" s="110">
        <f t="shared" si="1"/>
        <v>0</v>
      </c>
      <c r="L34" s="111">
        <f t="shared" si="2"/>
        <v>0</v>
      </c>
      <c r="M34" s="111"/>
      <c r="N34" s="111"/>
      <c r="O34" s="83"/>
      <c r="P34" s="84"/>
      <c r="Q34" s="84"/>
      <c r="R34" s="119">
        <f t="shared" si="0"/>
        <v>0</v>
      </c>
    </row>
    <row r="35" spans="2:18">
      <c r="B35" s="89"/>
      <c r="C35" s="83"/>
      <c r="D35" s="84"/>
      <c r="E35" s="83"/>
      <c r="F35" s="83"/>
      <c r="G35" s="84"/>
      <c r="H35" s="84"/>
      <c r="I35" s="83"/>
      <c r="J35" s="83"/>
      <c r="K35" s="110">
        <f t="shared" si="1"/>
        <v>0</v>
      </c>
      <c r="L35" s="111">
        <f t="shared" si="2"/>
        <v>0</v>
      </c>
      <c r="M35" s="111"/>
      <c r="N35" s="111"/>
      <c r="O35" s="84"/>
      <c r="P35" s="84"/>
      <c r="Q35" s="84"/>
      <c r="R35" s="119">
        <f t="shared" si="0"/>
        <v>0</v>
      </c>
    </row>
    <row r="36" spans="2:18">
      <c r="B36" s="89"/>
      <c r="C36" s="83"/>
      <c r="D36" s="84"/>
      <c r="E36" s="83"/>
      <c r="F36" s="83"/>
      <c r="G36" s="84"/>
      <c r="H36" s="84"/>
      <c r="I36" s="83"/>
      <c r="J36" s="83"/>
      <c r="K36" s="110">
        <f t="shared" si="1"/>
        <v>0</v>
      </c>
      <c r="L36" s="111">
        <f t="shared" si="2"/>
        <v>0</v>
      </c>
      <c r="M36" s="111"/>
      <c r="N36" s="111"/>
      <c r="O36" s="84"/>
      <c r="P36" s="84"/>
      <c r="Q36" s="84"/>
      <c r="R36" s="119">
        <f t="shared" si="0"/>
        <v>0</v>
      </c>
    </row>
    <row r="37" spans="2:18">
      <c r="B37" s="89"/>
      <c r="C37" s="83"/>
      <c r="D37" s="84"/>
      <c r="E37" s="83"/>
      <c r="F37" s="83"/>
      <c r="G37" s="84"/>
      <c r="H37" s="84"/>
      <c r="I37" s="83"/>
      <c r="J37" s="83"/>
      <c r="K37" s="110">
        <f t="shared" si="1"/>
        <v>0</v>
      </c>
      <c r="L37" s="111">
        <f t="shared" si="2"/>
        <v>0</v>
      </c>
      <c r="M37" s="111"/>
      <c r="N37" s="111"/>
      <c r="O37" s="84"/>
      <c r="P37" s="84"/>
      <c r="Q37" s="84"/>
      <c r="R37" s="119">
        <f t="shared" si="0"/>
        <v>0</v>
      </c>
    </row>
    <row r="38" spans="2:18">
      <c r="B38" s="89"/>
      <c r="C38" s="83"/>
      <c r="D38" s="84"/>
      <c r="E38" s="83"/>
      <c r="F38" s="83"/>
      <c r="G38" s="84"/>
      <c r="H38" s="84"/>
      <c r="I38" s="83"/>
      <c r="J38" s="83"/>
      <c r="K38" s="110">
        <f t="shared" si="1"/>
        <v>0</v>
      </c>
      <c r="L38" s="111">
        <f t="shared" si="2"/>
        <v>0</v>
      </c>
      <c r="M38" s="111"/>
      <c r="N38" s="111"/>
      <c r="O38" s="84"/>
      <c r="P38" s="84"/>
      <c r="Q38" s="84"/>
      <c r="R38" s="119">
        <f t="shared" si="0"/>
        <v>0</v>
      </c>
    </row>
    <row r="39" spans="2:18">
      <c r="B39" s="89"/>
      <c r="C39" s="83"/>
      <c r="D39" s="84"/>
      <c r="E39" s="83"/>
      <c r="F39" s="83"/>
      <c r="G39" s="84"/>
      <c r="H39" s="84"/>
      <c r="I39" s="83"/>
      <c r="J39" s="83"/>
      <c r="K39" s="110">
        <f t="shared" si="1"/>
        <v>0</v>
      </c>
      <c r="L39" s="111">
        <f t="shared" si="2"/>
        <v>0</v>
      </c>
      <c r="M39" s="111"/>
      <c r="N39" s="111"/>
      <c r="O39" s="84"/>
      <c r="P39" s="84"/>
      <c r="Q39" s="84"/>
      <c r="R39" s="119">
        <f t="shared" si="0"/>
        <v>0</v>
      </c>
    </row>
    <row r="40" spans="2:18">
      <c r="B40" s="89"/>
      <c r="C40" s="83"/>
      <c r="D40" s="84"/>
      <c r="E40" s="83"/>
      <c r="F40" s="83"/>
      <c r="G40" s="84"/>
      <c r="H40" s="84"/>
      <c r="I40" s="83"/>
      <c r="J40" s="83"/>
      <c r="K40" s="110">
        <f t="shared" si="1"/>
        <v>0</v>
      </c>
      <c r="L40" s="111">
        <f t="shared" si="2"/>
        <v>0</v>
      </c>
      <c r="M40" s="111"/>
      <c r="N40" s="111"/>
      <c r="O40" s="84"/>
      <c r="P40" s="84"/>
      <c r="Q40" s="84"/>
      <c r="R40" s="119">
        <f t="shared" si="0"/>
        <v>0</v>
      </c>
    </row>
    <row r="41" spans="2:18">
      <c r="B41" s="91"/>
      <c r="C41" s="84"/>
      <c r="D41" s="84"/>
      <c r="E41" s="84"/>
      <c r="F41" s="84"/>
      <c r="G41" s="84"/>
      <c r="H41" s="84"/>
      <c r="I41" s="112"/>
      <c r="J41" s="92"/>
      <c r="K41" s="110">
        <f t="shared" si="1"/>
        <v>0</v>
      </c>
      <c r="L41" s="111">
        <f t="shared" si="2"/>
        <v>0</v>
      </c>
      <c r="M41" s="92"/>
      <c r="N41" s="92"/>
      <c r="O41" s="112"/>
      <c r="P41" s="112"/>
      <c r="Q41" s="112"/>
      <c r="R41" s="119">
        <f t="shared" si="0"/>
        <v>0</v>
      </c>
    </row>
    <row r="42" spans="2:18">
      <c r="B42" s="217"/>
      <c r="C42" s="218"/>
      <c r="D42" s="218"/>
      <c r="E42" s="218"/>
      <c r="F42" s="218"/>
      <c r="G42" s="218"/>
      <c r="H42" s="218"/>
      <c r="I42" s="219" t="s">
        <v>93</v>
      </c>
      <c r="J42" s="220"/>
      <c r="K42" s="92">
        <f t="shared" ref="K42:R42" si="3">SUM(K11:K41)</f>
        <v>1</v>
      </c>
      <c r="L42" s="92">
        <f t="shared" si="3"/>
        <v>3.25</v>
      </c>
      <c r="M42" s="92">
        <f t="shared" si="3"/>
        <v>0</v>
      </c>
      <c r="N42" s="92">
        <f t="shared" si="3"/>
        <v>0</v>
      </c>
      <c r="O42" s="92">
        <f t="shared" si="3"/>
        <v>0</v>
      </c>
      <c r="P42" s="92">
        <f t="shared" si="3"/>
        <v>0</v>
      </c>
      <c r="Q42" s="92">
        <f t="shared" si="3"/>
        <v>0</v>
      </c>
      <c r="R42" s="120">
        <f t="shared" si="3"/>
        <v>3.25</v>
      </c>
    </row>
    <row r="43" spans="2:18">
      <c r="B43" s="93" t="s">
        <v>94</v>
      </c>
      <c r="C43" s="94"/>
      <c r="D43" s="94"/>
      <c r="E43" s="94"/>
      <c r="F43" s="94"/>
      <c r="G43" s="94"/>
      <c r="H43" s="94"/>
      <c r="I43" s="94"/>
      <c r="J43" s="94"/>
      <c r="K43" s="113"/>
      <c r="L43" s="94"/>
      <c r="M43" s="94"/>
      <c r="N43" s="94"/>
      <c r="O43" s="94"/>
      <c r="P43" s="94"/>
      <c r="Q43" s="94"/>
      <c r="R43" s="121"/>
    </row>
    <row r="44" spans="2:18">
      <c r="B44" s="72"/>
      <c r="C44" s="73"/>
      <c r="D44" s="73"/>
      <c r="E44" s="73"/>
      <c r="F44" s="73"/>
      <c r="G44" s="73"/>
      <c r="H44" s="73"/>
      <c r="I44" s="73"/>
      <c r="J44" s="73"/>
      <c r="K44" s="105"/>
      <c r="L44" s="73"/>
      <c r="M44" s="73"/>
      <c r="N44" s="73"/>
      <c r="O44" s="73"/>
      <c r="P44" s="73"/>
      <c r="Q44" s="73"/>
      <c r="R44" s="74"/>
    </row>
    <row r="45" spans="2:18">
      <c r="B45" s="72"/>
      <c r="C45" s="73"/>
      <c r="D45" s="73"/>
      <c r="E45" s="73"/>
      <c r="F45" s="73"/>
      <c r="G45" s="73"/>
      <c r="H45" s="73"/>
      <c r="I45" s="73"/>
      <c r="J45" s="73"/>
      <c r="K45" s="105"/>
      <c r="L45" s="73"/>
      <c r="M45" s="73"/>
      <c r="N45" s="73"/>
      <c r="O45" s="73"/>
      <c r="P45" s="73"/>
      <c r="Q45" s="73"/>
      <c r="R45" s="74"/>
    </row>
    <row r="46" spans="2:18">
      <c r="B46" s="95" t="s">
        <v>95</v>
      </c>
      <c r="C46" s="96"/>
      <c r="D46" s="94"/>
      <c r="E46" s="94"/>
      <c r="F46" s="94"/>
      <c r="G46" s="94"/>
      <c r="H46" s="96" t="s">
        <v>96</v>
      </c>
      <c r="I46" s="94"/>
      <c r="J46" s="94"/>
      <c r="K46" s="113"/>
      <c r="L46" s="94"/>
      <c r="M46" s="94"/>
      <c r="N46" s="94"/>
      <c r="O46" s="94"/>
      <c r="P46" s="96"/>
      <c r="Q46" s="96"/>
      <c r="R46" s="122"/>
    </row>
    <row r="47" spans="2:18">
      <c r="B47" s="95" t="s">
        <v>97</v>
      </c>
      <c r="C47" s="94"/>
      <c r="D47" s="94"/>
      <c r="E47" s="94"/>
      <c r="F47" s="94"/>
      <c r="G47" s="94"/>
      <c r="H47" s="96" t="s">
        <v>98</v>
      </c>
      <c r="I47" s="94"/>
      <c r="J47" s="94"/>
      <c r="K47" s="113"/>
      <c r="L47" s="96"/>
      <c r="M47" s="96"/>
      <c r="N47" s="96"/>
      <c r="O47" s="94"/>
      <c r="P47" s="94"/>
      <c r="Q47" s="94"/>
      <c r="R47" s="121"/>
    </row>
    <row r="48" spans="2:18">
      <c r="B48" s="93"/>
      <c r="C48" s="94"/>
      <c r="D48" s="94"/>
      <c r="E48" s="94"/>
      <c r="F48" s="94"/>
      <c r="G48" s="94"/>
      <c r="H48" s="96" t="s">
        <v>99</v>
      </c>
      <c r="I48" s="94"/>
      <c r="J48" s="94"/>
      <c r="K48" s="113"/>
      <c r="L48" s="94"/>
      <c r="M48" s="94"/>
      <c r="N48" s="94"/>
      <c r="O48" s="94"/>
      <c r="P48" s="96"/>
      <c r="Q48" s="94"/>
      <c r="R48" s="121"/>
    </row>
    <row r="49" spans="2:18">
      <c r="B49" s="221" t="s">
        <v>100</v>
      </c>
      <c r="C49" s="222"/>
      <c r="D49" s="222"/>
      <c r="E49" s="222"/>
      <c r="F49" s="222"/>
      <c r="G49" s="222"/>
      <c r="H49" s="222"/>
      <c r="I49" s="223" t="s">
        <v>83</v>
      </c>
      <c r="J49" s="223"/>
      <c r="K49" s="223"/>
      <c r="L49" s="223"/>
      <c r="M49" s="114"/>
      <c r="N49" s="114"/>
      <c r="O49" s="115"/>
      <c r="P49" s="233"/>
      <c r="Q49" s="233"/>
      <c r="R49" s="234"/>
    </row>
    <row r="50" spans="2:18">
      <c r="B50" s="97" t="s">
        <v>101</v>
      </c>
      <c r="C50" s="231" t="s">
        <v>102</v>
      </c>
      <c r="D50" s="231"/>
      <c r="E50" s="231"/>
      <c r="F50" s="231"/>
      <c r="G50" s="231"/>
      <c r="H50" s="231"/>
      <c r="I50" s="84" t="s">
        <v>90</v>
      </c>
      <c r="J50" s="84"/>
      <c r="K50" s="111"/>
      <c r="L50" s="84" t="s">
        <v>103</v>
      </c>
      <c r="M50" s="94"/>
      <c r="N50" s="94"/>
      <c r="O50" s="94"/>
      <c r="P50" s="94"/>
      <c r="Q50" s="94"/>
      <c r="R50" s="121"/>
    </row>
    <row r="51" spans="2:18">
      <c r="B51" s="98"/>
      <c r="C51" s="232"/>
      <c r="D51" s="232"/>
      <c r="E51" s="232"/>
      <c r="F51" s="232"/>
      <c r="G51" s="232"/>
      <c r="H51" s="232"/>
      <c r="I51" s="84"/>
      <c r="J51" s="84"/>
      <c r="K51" s="111"/>
      <c r="L51" s="84"/>
      <c r="M51" s="94"/>
      <c r="N51" s="94"/>
      <c r="O51" s="94"/>
      <c r="P51" s="94"/>
      <c r="Q51" s="94"/>
      <c r="R51" s="121"/>
    </row>
    <row r="52" spans="2:18">
      <c r="B52" s="98" t="s">
        <v>104</v>
      </c>
      <c r="C52" s="232" t="s">
        <v>105</v>
      </c>
      <c r="D52" s="232"/>
      <c r="E52" s="232"/>
      <c r="F52" s="232"/>
      <c r="G52" s="232"/>
      <c r="H52" s="232"/>
      <c r="I52" s="84"/>
      <c r="J52" s="84"/>
      <c r="K52" s="111"/>
      <c r="L52" s="84"/>
      <c r="M52" s="94"/>
      <c r="N52" s="94"/>
      <c r="O52" s="94"/>
      <c r="P52" s="94"/>
      <c r="Q52" s="94"/>
      <c r="R52" s="121"/>
    </row>
    <row r="53" spans="2:18">
      <c r="B53" s="99" t="s">
        <v>104</v>
      </c>
      <c r="C53" s="214" t="s">
        <v>106</v>
      </c>
      <c r="D53" s="214"/>
      <c r="E53" s="214"/>
      <c r="F53" s="214"/>
      <c r="G53" s="214"/>
      <c r="H53" s="214"/>
      <c r="I53" s="84"/>
      <c r="J53" s="84"/>
      <c r="K53" s="111"/>
      <c r="L53" s="84"/>
      <c r="M53" s="94"/>
      <c r="N53" s="94"/>
      <c r="O53" s="94"/>
      <c r="P53" s="94"/>
      <c r="Q53" s="94"/>
      <c r="R53" s="121"/>
    </row>
    <row r="54" spans="2:18">
      <c r="B54" s="215" t="s">
        <v>107</v>
      </c>
      <c r="C54" s="216"/>
      <c r="D54" s="94"/>
      <c r="E54" s="94"/>
      <c r="F54" s="94"/>
      <c r="G54" s="94"/>
      <c r="H54" s="94"/>
      <c r="I54" s="94"/>
      <c r="J54" s="94"/>
      <c r="K54" s="113"/>
      <c r="L54" s="94"/>
      <c r="M54" s="94"/>
      <c r="N54" s="94"/>
      <c r="O54" s="94"/>
      <c r="P54" s="94"/>
      <c r="Q54" s="94"/>
      <c r="R54" s="121"/>
    </row>
    <row r="55" spans="2:18">
      <c r="B55" s="93"/>
      <c r="C55" s="100"/>
      <c r="D55" s="94" t="s">
        <v>108</v>
      </c>
      <c r="E55" s="94"/>
      <c r="F55" s="94"/>
      <c r="G55" s="94"/>
      <c r="H55" s="94"/>
      <c r="I55" s="94"/>
      <c r="J55" s="94"/>
      <c r="K55" s="113"/>
      <c r="L55" s="94"/>
      <c r="M55" s="94"/>
      <c r="N55" s="94"/>
      <c r="O55" s="94"/>
      <c r="P55" s="116"/>
      <c r="Q55" s="116"/>
      <c r="R55" s="123"/>
    </row>
    <row r="56" spans="2:18">
      <c r="B56" s="93"/>
      <c r="C56" s="100"/>
      <c r="D56" s="94"/>
      <c r="E56" s="101"/>
      <c r="F56" s="94"/>
      <c r="G56" s="94"/>
      <c r="H56" s="94"/>
      <c r="I56" s="94"/>
      <c r="J56" s="94"/>
      <c r="K56" s="113"/>
      <c r="L56" s="94"/>
      <c r="M56" s="94"/>
      <c r="N56" s="94"/>
      <c r="O56" s="94"/>
      <c r="P56" s="94"/>
      <c r="Q56" s="94"/>
      <c r="R56" s="121"/>
    </row>
    <row r="57" spans="2:18">
      <c r="B57" s="102"/>
      <c r="C57" s="103"/>
      <c r="D57" s="104" t="s">
        <v>109</v>
      </c>
      <c r="E57" s="104"/>
      <c r="F57" s="104"/>
      <c r="G57" s="104"/>
      <c r="H57" s="104" t="s">
        <v>110</v>
      </c>
      <c r="I57" s="104"/>
      <c r="J57" s="104"/>
      <c r="K57" s="117"/>
      <c r="L57" s="104"/>
      <c r="M57" s="104"/>
      <c r="N57" s="104"/>
      <c r="O57" s="104"/>
      <c r="P57" s="104"/>
      <c r="Q57" s="104"/>
      <c r="R57" s="124"/>
    </row>
  </sheetData>
  <mergeCells count="30">
    <mergeCell ref="R9:R10"/>
    <mergeCell ref="E1:R2"/>
    <mergeCell ref="C50:H50"/>
    <mergeCell ref="C51:H51"/>
    <mergeCell ref="C52:H52"/>
    <mergeCell ref="P49:R49"/>
    <mergeCell ref="B9:D9"/>
    <mergeCell ref="E9:G9"/>
    <mergeCell ref="I9:L9"/>
    <mergeCell ref="M9:N9"/>
    <mergeCell ref="P9:Q9"/>
    <mergeCell ref="H9:H10"/>
    <mergeCell ref="O9:O10"/>
    <mergeCell ref="C6:E6"/>
    <mergeCell ref="F6:G6"/>
    <mergeCell ref="H6:L6"/>
    <mergeCell ref="C53:H53"/>
    <mergeCell ref="B54:C54"/>
    <mergeCell ref="B42:H42"/>
    <mergeCell ref="I42:J42"/>
    <mergeCell ref="B49:H49"/>
    <mergeCell ref="I49:L49"/>
    <mergeCell ref="D8:E8"/>
    <mergeCell ref="F8:G8"/>
    <mergeCell ref="H8:O8"/>
    <mergeCell ref="B1:D1"/>
    <mergeCell ref="E4:R4"/>
    <mergeCell ref="I5:J5"/>
    <mergeCell ref="O5:P5"/>
    <mergeCell ref="Q5:R5"/>
  </mergeCells>
  <pageMargins left="0" right="0" top="0.5" bottom="0" header="0.5" footer="0.5"/>
  <pageSetup scale="8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2"/>
  <sheetViews>
    <sheetView workbookViewId="0">
      <selection activeCell="G12" sqref="G12:I12"/>
    </sheetView>
  </sheetViews>
  <sheetFormatPr defaultColWidth="9" defaultRowHeight="15"/>
  <cols>
    <col min="1" max="1" width="10" customWidth="1"/>
    <col min="2" max="2" width="7.5703125" customWidth="1"/>
    <col min="3" max="3" width="9.5703125" customWidth="1"/>
    <col min="4" max="4" width="9.42578125" customWidth="1"/>
    <col min="5" max="5" width="7.5703125" customWidth="1"/>
    <col min="6" max="6" width="12" customWidth="1"/>
    <col min="7" max="7" width="7.5703125" customWidth="1"/>
    <col min="8" max="8" width="16.28515625" customWidth="1"/>
    <col min="9" max="9" width="25.7109375" customWidth="1"/>
    <col min="10" max="10" width="14.28515625" customWidth="1"/>
  </cols>
  <sheetData>
    <row r="1" spans="1:10" ht="18.75">
      <c r="A1" s="245"/>
      <c r="B1" s="246"/>
      <c r="C1" s="43"/>
      <c r="D1" s="258" t="s">
        <v>111</v>
      </c>
      <c r="E1" s="259"/>
      <c r="F1" s="259"/>
      <c r="G1" s="259"/>
      <c r="H1" s="259"/>
      <c r="I1" s="259"/>
      <c r="J1" s="260"/>
    </row>
    <row r="2" spans="1:10">
      <c r="A2" s="44"/>
      <c r="B2" s="45"/>
      <c r="C2" s="46"/>
      <c r="D2" s="261"/>
      <c r="E2" s="262"/>
      <c r="F2" s="262"/>
      <c r="G2" s="262"/>
      <c r="H2" s="262"/>
      <c r="I2" s="262"/>
      <c r="J2" s="263"/>
    </row>
    <row r="3" spans="1:10">
      <c r="A3" s="44"/>
      <c r="B3" s="45"/>
      <c r="C3" s="46"/>
      <c r="D3" s="261"/>
      <c r="E3" s="262"/>
      <c r="F3" s="262"/>
      <c r="G3" s="262"/>
      <c r="H3" s="262"/>
      <c r="I3" s="262"/>
      <c r="J3" s="263"/>
    </row>
    <row r="4" spans="1:10">
      <c r="A4" s="44"/>
      <c r="B4" s="45"/>
      <c r="C4" s="46"/>
      <c r="D4" s="264"/>
      <c r="E4" s="265"/>
      <c r="F4" s="265"/>
      <c r="G4" s="265"/>
      <c r="H4" s="265"/>
      <c r="I4" s="265"/>
      <c r="J4" s="266"/>
    </row>
    <row r="5" spans="1:10">
      <c r="A5" s="247" t="s">
        <v>112</v>
      </c>
      <c r="B5" s="248"/>
      <c r="C5" s="248"/>
      <c r="D5" s="248"/>
      <c r="E5" s="248"/>
      <c r="F5" s="248"/>
      <c r="G5" s="248"/>
      <c r="H5" s="248"/>
      <c r="I5" s="248"/>
      <c r="J5" s="249"/>
    </row>
    <row r="6" spans="1:10">
      <c r="A6" s="47"/>
      <c r="B6" s="46"/>
      <c r="C6" s="46"/>
      <c r="D6" s="46"/>
      <c r="E6" s="46"/>
      <c r="F6" s="46"/>
      <c r="G6" s="250" t="s">
        <v>72</v>
      </c>
      <c r="H6" s="251"/>
      <c r="I6" s="252"/>
      <c r="J6" s="253"/>
    </row>
    <row r="7" spans="1:10">
      <c r="A7" s="48" t="s">
        <v>113</v>
      </c>
      <c r="B7" s="254"/>
      <c r="C7" s="254"/>
      <c r="D7" s="255" t="s">
        <v>74</v>
      </c>
      <c r="E7" s="255"/>
      <c r="F7" s="256"/>
      <c r="G7" s="256"/>
      <c r="H7" s="49" t="s">
        <v>114</v>
      </c>
      <c r="I7" s="254"/>
      <c r="J7" s="257"/>
    </row>
    <row r="8" spans="1:10">
      <c r="A8" s="47"/>
      <c r="B8" s="50"/>
      <c r="C8" s="51"/>
      <c r="D8" s="255" t="s">
        <v>115</v>
      </c>
      <c r="E8" s="255"/>
      <c r="F8" s="255"/>
      <c r="G8" s="255"/>
      <c r="H8" s="255"/>
      <c r="I8" s="46"/>
      <c r="J8" s="6"/>
    </row>
    <row r="9" spans="1:10">
      <c r="A9" s="267" t="s">
        <v>76</v>
      </c>
      <c r="B9" s="255"/>
      <c r="C9" s="255"/>
      <c r="D9" s="255" t="s">
        <v>77</v>
      </c>
      <c r="E9" s="255"/>
      <c r="F9" s="255"/>
      <c r="G9" s="268" t="s">
        <v>116</v>
      </c>
      <c r="H9" s="269"/>
      <c r="I9" s="270"/>
      <c r="J9" s="68" t="s">
        <v>117</v>
      </c>
    </row>
    <row r="10" spans="1:10">
      <c r="A10" s="52" t="s">
        <v>84</v>
      </c>
      <c r="B10" s="53" t="s">
        <v>85</v>
      </c>
      <c r="C10" s="53" t="s">
        <v>86</v>
      </c>
      <c r="D10" s="53" t="s">
        <v>84</v>
      </c>
      <c r="E10" s="53" t="s">
        <v>85</v>
      </c>
      <c r="F10" s="53" t="s">
        <v>86</v>
      </c>
      <c r="G10" s="268"/>
      <c r="H10" s="269"/>
      <c r="I10" s="270"/>
      <c r="J10" s="69"/>
    </row>
    <row r="11" spans="1:10">
      <c r="A11" s="54"/>
      <c r="B11" s="55"/>
      <c r="C11" s="56"/>
      <c r="D11" s="57"/>
      <c r="E11" s="55"/>
      <c r="F11" s="56"/>
      <c r="G11" s="268"/>
      <c r="H11" s="269"/>
      <c r="I11" s="270"/>
      <c r="J11" s="69"/>
    </row>
    <row r="12" spans="1:10">
      <c r="A12" s="54"/>
      <c r="B12" s="55"/>
      <c r="C12" s="56"/>
      <c r="D12" s="57"/>
      <c r="E12" s="55"/>
      <c r="F12" s="23"/>
      <c r="G12" s="268"/>
      <c r="H12" s="269"/>
      <c r="I12" s="270"/>
      <c r="J12" s="69"/>
    </row>
    <row r="13" spans="1:10">
      <c r="A13" s="54"/>
      <c r="B13" s="55"/>
      <c r="C13" s="56"/>
      <c r="D13" s="57"/>
      <c r="E13" s="55"/>
      <c r="F13" s="56"/>
      <c r="G13" s="268"/>
      <c r="H13" s="269"/>
      <c r="I13" s="270"/>
      <c r="J13" s="69"/>
    </row>
    <row r="14" spans="1:10">
      <c r="A14" s="54"/>
      <c r="B14" s="55"/>
      <c r="C14" s="56"/>
      <c r="D14" s="57"/>
      <c r="E14" s="55"/>
      <c r="F14" s="56"/>
      <c r="G14" s="268"/>
      <c r="H14" s="269"/>
      <c r="I14" s="270"/>
      <c r="J14" s="69"/>
    </row>
    <row r="15" spans="1:10">
      <c r="A15" s="58"/>
      <c r="B15" s="55"/>
      <c r="C15" s="56"/>
      <c r="D15" s="59"/>
      <c r="E15" s="55"/>
      <c r="F15" s="56"/>
      <c r="G15" s="268"/>
      <c r="H15" s="269"/>
      <c r="I15" s="270"/>
      <c r="J15" s="69"/>
    </row>
    <row r="16" spans="1:10">
      <c r="A16" s="58"/>
      <c r="B16" s="55"/>
      <c r="C16" s="56"/>
      <c r="D16" s="59"/>
      <c r="E16" s="55"/>
      <c r="F16" s="56"/>
      <c r="G16" s="268"/>
      <c r="H16" s="269"/>
      <c r="I16" s="270"/>
      <c r="J16" s="69"/>
    </row>
    <row r="17" spans="1:10">
      <c r="A17" s="58"/>
      <c r="B17" s="55"/>
      <c r="C17" s="56"/>
      <c r="D17" s="59"/>
      <c r="E17" s="55"/>
      <c r="F17" s="56"/>
      <c r="G17" s="268"/>
      <c r="H17" s="269"/>
      <c r="I17" s="270"/>
      <c r="J17" s="69"/>
    </row>
    <row r="18" spans="1:10">
      <c r="A18" s="58"/>
      <c r="B18" s="55"/>
      <c r="C18" s="56"/>
      <c r="D18" s="59"/>
      <c r="E18" s="55"/>
      <c r="F18" s="56"/>
      <c r="G18" s="268"/>
      <c r="H18" s="269"/>
      <c r="I18" s="270"/>
      <c r="J18" s="69"/>
    </row>
    <row r="19" spans="1:10">
      <c r="A19" s="12"/>
      <c r="B19" s="55"/>
      <c r="C19" s="56"/>
      <c r="D19" s="23"/>
      <c r="E19" s="55"/>
      <c r="F19" s="56"/>
      <c r="G19" s="268"/>
      <c r="H19" s="269"/>
      <c r="I19" s="270"/>
      <c r="J19" s="69"/>
    </row>
    <row r="20" spans="1:10">
      <c r="A20" s="12"/>
      <c r="B20" s="55"/>
      <c r="C20" s="56"/>
      <c r="D20" s="23"/>
      <c r="E20" s="55"/>
      <c r="F20" s="56"/>
      <c r="G20" s="268"/>
      <c r="H20" s="269"/>
      <c r="I20" s="270"/>
      <c r="J20" s="69"/>
    </row>
    <row r="21" spans="1:10">
      <c r="A21" s="12"/>
      <c r="B21" s="55"/>
      <c r="C21" s="56"/>
      <c r="D21" s="23"/>
      <c r="E21" s="55"/>
      <c r="F21" s="56"/>
      <c r="G21" s="268"/>
      <c r="H21" s="269"/>
      <c r="I21" s="270"/>
      <c r="J21" s="69"/>
    </row>
    <row r="22" spans="1:10">
      <c r="A22" s="12"/>
      <c r="B22" s="55"/>
      <c r="C22" s="56"/>
      <c r="D22" s="23"/>
      <c r="E22" s="55"/>
      <c r="F22" s="56"/>
      <c r="G22" s="268"/>
      <c r="H22" s="269"/>
      <c r="I22" s="270"/>
      <c r="J22" s="69"/>
    </row>
    <row r="23" spans="1:10">
      <c r="A23" s="12"/>
      <c r="B23" s="55"/>
      <c r="C23" s="56"/>
      <c r="D23" s="23"/>
      <c r="E23" s="55"/>
      <c r="F23" s="56"/>
      <c r="G23" s="268"/>
      <c r="H23" s="269"/>
      <c r="I23" s="270"/>
      <c r="J23" s="69"/>
    </row>
    <row r="24" spans="1:10">
      <c r="A24" s="58"/>
      <c r="B24" s="55"/>
      <c r="C24" s="56"/>
      <c r="D24" s="59"/>
      <c r="E24" s="55"/>
      <c r="F24" s="56"/>
      <c r="G24" s="268"/>
      <c r="H24" s="269"/>
      <c r="I24" s="270"/>
      <c r="J24" s="69"/>
    </row>
    <row r="25" spans="1:10">
      <c r="A25" s="58"/>
      <c r="B25" s="55"/>
      <c r="C25" s="56"/>
      <c r="D25" s="59"/>
      <c r="E25" s="55"/>
      <c r="F25" s="56"/>
      <c r="G25" s="268"/>
      <c r="H25" s="269"/>
      <c r="I25" s="270"/>
      <c r="J25" s="69"/>
    </row>
    <row r="26" spans="1:10">
      <c r="A26" s="58"/>
      <c r="B26" s="55"/>
      <c r="C26" s="56"/>
      <c r="D26" s="59"/>
      <c r="E26" s="55"/>
      <c r="F26" s="56"/>
      <c r="G26" s="268"/>
      <c r="H26" s="269"/>
      <c r="I26" s="270"/>
      <c r="J26" s="69"/>
    </row>
    <row r="27" spans="1:10">
      <c r="A27" s="58"/>
      <c r="B27" s="55"/>
      <c r="C27" s="56"/>
      <c r="D27" s="59"/>
      <c r="E27" s="60"/>
      <c r="F27" s="56"/>
      <c r="G27" s="268"/>
      <c r="H27" s="269"/>
      <c r="I27" s="270"/>
      <c r="J27" s="69"/>
    </row>
    <row r="28" spans="1:10">
      <c r="A28" s="54"/>
      <c r="B28" s="23"/>
      <c r="C28" s="56"/>
      <c r="D28" s="57"/>
      <c r="E28" s="55"/>
      <c r="F28" s="56"/>
      <c r="G28" s="268"/>
      <c r="H28" s="269"/>
      <c r="I28" s="270"/>
      <c r="J28" s="69"/>
    </row>
    <row r="29" spans="1:10">
      <c r="A29" s="54"/>
      <c r="B29" s="23"/>
      <c r="C29" s="56"/>
      <c r="D29" s="57"/>
      <c r="E29" s="55"/>
      <c r="F29" s="56"/>
      <c r="G29" s="268"/>
      <c r="H29" s="269"/>
      <c r="I29" s="270"/>
      <c r="J29" s="69"/>
    </row>
    <row r="30" spans="1:10">
      <c r="A30" s="54"/>
      <c r="B30" s="55"/>
      <c r="C30" s="56"/>
      <c r="D30" s="57"/>
      <c r="E30" s="55"/>
      <c r="F30" s="56"/>
      <c r="G30" s="268"/>
      <c r="H30" s="269"/>
      <c r="I30" s="270"/>
      <c r="J30" s="69"/>
    </row>
    <row r="31" spans="1:10">
      <c r="A31" s="54"/>
      <c r="B31" s="55"/>
      <c r="C31" s="56"/>
      <c r="D31" s="57"/>
      <c r="E31" s="55"/>
      <c r="F31" s="56"/>
      <c r="G31" s="268"/>
      <c r="H31" s="269"/>
      <c r="I31" s="270"/>
      <c r="J31" s="69"/>
    </row>
    <row r="32" spans="1:10">
      <c r="A32" s="54"/>
      <c r="B32" s="55"/>
      <c r="C32" s="56"/>
      <c r="D32" s="57"/>
      <c r="E32" s="55"/>
      <c r="F32" s="56"/>
      <c r="G32" s="268"/>
      <c r="H32" s="269"/>
      <c r="I32" s="270"/>
      <c r="J32" s="69"/>
    </row>
    <row r="33" spans="1:10">
      <c r="A33" s="54"/>
      <c r="B33" s="55"/>
      <c r="C33" s="56"/>
      <c r="D33" s="57"/>
      <c r="E33" s="55"/>
      <c r="F33" s="56"/>
      <c r="G33" s="268"/>
      <c r="H33" s="269"/>
      <c r="I33" s="270"/>
      <c r="J33" s="69"/>
    </row>
    <row r="34" spans="1:10">
      <c r="A34" s="54"/>
      <c r="B34" s="55"/>
      <c r="C34" s="56"/>
      <c r="D34" s="57"/>
      <c r="E34" s="55"/>
      <c r="F34" s="56"/>
      <c r="G34" s="268"/>
      <c r="H34" s="269"/>
      <c r="I34" s="270"/>
      <c r="J34" s="69"/>
    </row>
    <row r="35" spans="1:10">
      <c r="A35" s="54"/>
      <c r="B35" s="55"/>
      <c r="C35" s="56"/>
      <c r="D35" s="57"/>
      <c r="E35" s="55"/>
      <c r="F35" s="56"/>
      <c r="G35" s="268"/>
      <c r="H35" s="269"/>
      <c r="I35" s="270"/>
      <c r="J35" s="69"/>
    </row>
    <row r="36" spans="1:10">
      <c r="A36" s="54"/>
      <c r="B36" s="55"/>
      <c r="C36" s="56"/>
      <c r="D36" s="57"/>
      <c r="E36" s="55"/>
      <c r="F36" s="56"/>
      <c r="G36" s="268"/>
      <c r="H36" s="269"/>
      <c r="I36" s="270"/>
      <c r="J36" s="69"/>
    </row>
    <row r="37" spans="1:10">
      <c r="A37" s="54"/>
      <c r="B37" s="55"/>
      <c r="C37" s="56"/>
      <c r="D37" s="57"/>
      <c r="E37" s="55"/>
      <c r="F37" s="56"/>
      <c r="G37" s="268"/>
      <c r="H37" s="269"/>
      <c r="I37" s="270"/>
      <c r="J37" s="69"/>
    </row>
    <row r="38" spans="1:10">
      <c r="A38" s="12"/>
      <c r="B38" s="55"/>
      <c r="C38" s="56"/>
      <c r="D38" s="23"/>
      <c r="E38" s="55"/>
      <c r="F38" s="56"/>
      <c r="G38" s="268"/>
      <c r="H38" s="269"/>
      <c r="I38" s="270"/>
      <c r="J38" s="69"/>
    </row>
    <row r="39" spans="1:10">
      <c r="A39" s="12"/>
      <c r="B39" s="23"/>
      <c r="C39" s="56"/>
      <c r="D39" s="23"/>
      <c r="E39" s="23"/>
      <c r="F39" s="56"/>
      <c r="G39" s="268"/>
      <c r="H39" s="269"/>
      <c r="I39" s="270"/>
      <c r="J39" s="69"/>
    </row>
    <row r="40" spans="1:10">
      <c r="A40" s="12"/>
      <c r="B40" s="23"/>
      <c r="C40" s="56"/>
      <c r="D40" s="23"/>
      <c r="E40" s="23"/>
      <c r="F40" s="56"/>
      <c r="G40" s="268"/>
      <c r="H40" s="269"/>
      <c r="I40" s="270"/>
      <c r="J40" s="69"/>
    </row>
    <row r="41" spans="1:10">
      <c r="A41" s="61"/>
      <c r="B41" s="62"/>
      <c r="C41" s="56"/>
      <c r="D41" s="63"/>
      <c r="E41" s="62"/>
      <c r="F41" s="56"/>
      <c r="G41" s="268"/>
      <c r="H41" s="269"/>
      <c r="I41" s="270"/>
      <c r="J41" s="69"/>
    </row>
    <row r="42" spans="1:10">
      <c r="A42" s="271" t="s">
        <v>118</v>
      </c>
      <c r="B42" s="272"/>
      <c r="C42" s="272"/>
      <c r="D42" s="272"/>
      <c r="E42" s="272"/>
      <c r="F42" s="272"/>
      <c r="G42" s="64"/>
      <c r="H42" s="46"/>
      <c r="I42" s="46"/>
      <c r="J42" s="6"/>
    </row>
    <row r="43" spans="1:10">
      <c r="A43" s="65"/>
      <c r="B43" s="66"/>
      <c r="C43" s="66"/>
      <c r="D43" s="46"/>
      <c r="E43" s="46"/>
      <c r="F43" s="46"/>
      <c r="G43" s="46"/>
      <c r="H43" s="46"/>
      <c r="I43" s="46"/>
      <c r="J43" s="6"/>
    </row>
    <row r="44" spans="1:10">
      <c r="A44" s="47"/>
      <c r="B44" s="46"/>
      <c r="C44" s="46"/>
      <c r="D44" s="46"/>
      <c r="E44" s="46"/>
      <c r="F44" s="46"/>
      <c r="G44" s="46"/>
      <c r="H44" s="46"/>
      <c r="I44" s="46"/>
      <c r="J44" s="6"/>
    </row>
    <row r="45" spans="1:10">
      <c r="A45" s="273" t="s">
        <v>95</v>
      </c>
      <c r="B45" s="274"/>
      <c r="C45" s="46"/>
      <c r="D45" s="274" t="s">
        <v>119</v>
      </c>
      <c r="E45" s="274"/>
      <c r="F45" s="274"/>
      <c r="G45" s="274" t="s">
        <v>120</v>
      </c>
      <c r="H45" s="274"/>
      <c r="I45" s="274"/>
      <c r="J45" s="6"/>
    </row>
    <row r="46" spans="1:10">
      <c r="A46" s="47"/>
      <c r="B46" s="46"/>
      <c r="C46" s="46"/>
      <c r="D46" s="46"/>
      <c r="E46" s="67"/>
      <c r="F46" s="67"/>
      <c r="G46" s="46"/>
      <c r="H46" s="46"/>
      <c r="I46" s="46"/>
      <c r="J46" s="6"/>
    </row>
    <row r="47" spans="1:10">
      <c r="A47" s="267" t="s">
        <v>121</v>
      </c>
      <c r="B47" s="255"/>
      <c r="C47" s="255"/>
      <c r="D47" s="255"/>
      <c r="E47" s="255"/>
      <c r="F47" s="255"/>
      <c r="G47" s="255"/>
      <c r="H47" s="255"/>
      <c r="I47" s="255"/>
      <c r="J47" s="6"/>
    </row>
    <row r="48" spans="1:10">
      <c r="A48" s="48" t="s">
        <v>84</v>
      </c>
      <c r="B48" s="275" t="s">
        <v>100</v>
      </c>
      <c r="C48" s="276"/>
      <c r="D48" s="62"/>
      <c r="E48" s="255" t="s">
        <v>122</v>
      </c>
      <c r="F48" s="255"/>
      <c r="G48" s="255"/>
      <c r="H48" s="255" t="s">
        <v>123</v>
      </c>
      <c r="I48" s="255"/>
      <c r="J48" s="6"/>
    </row>
    <row r="49" spans="1:10">
      <c r="A49" s="48"/>
      <c r="B49" s="62"/>
      <c r="C49" s="62"/>
      <c r="D49" s="62"/>
      <c r="E49" s="255"/>
      <c r="F49" s="255"/>
      <c r="G49" s="255"/>
      <c r="H49" s="62"/>
      <c r="I49" s="62"/>
      <c r="J49" s="6"/>
    </row>
    <row r="50" spans="1:10">
      <c r="A50" s="48"/>
      <c r="B50" s="62"/>
      <c r="C50" s="62"/>
      <c r="D50" s="62"/>
      <c r="E50" s="49"/>
      <c r="F50" s="62"/>
      <c r="G50" s="62"/>
      <c r="H50" s="62"/>
      <c r="I50" s="56"/>
      <c r="J50" s="6"/>
    </row>
    <row r="51" spans="1:10">
      <c r="A51" s="47"/>
      <c r="B51" s="46"/>
      <c r="C51" s="46"/>
      <c r="D51" s="46"/>
      <c r="E51" s="46"/>
      <c r="F51" s="46"/>
      <c r="G51" s="46"/>
      <c r="H51" s="46"/>
      <c r="I51" s="46"/>
      <c r="J51" s="6"/>
    </row>
    <row r="52" spans="1:10">
      <c r="A52" s="7"/>
      <c r="B52" s="8"/>
      <c r="C52" s="8"/>
      <c r="D52" s="8"/>
      <c r="E52" s="8"/>
      <c r="F52" s="8"/>
      <c r="G52" s="8"/>
      <c r="H52" s="8"/>
      <c r="I52" s="8"/>
      <c r="J52" s="9"/>
    </row>
  </sheetData>
  <mergeCells count="55">
    <mergeCell ref="A47:I47"/>
    <mergeCell ref="B48:C48"/>
    <mergeCell ref="E48:G48"/>
    <mergeCell ref="H48:I48"/>
    <mergeCell ref="E49:G49"/>
    <mergeCell ref="G40:I40"/>
    <mergeCell ref="G41:I41"/>
    <mergeCell ref="A42:F42"/>
    <mergeCell ref="A45:B45"/>
    <mergeCell ref="D45:F45"/>
    <mergeCell ref="G45:I45"/>
    <mergeCell ref="G35:I35"/>
    <mergeCell ref="G36:I36"/>
    <mergeCell ref="G37:I37"/>
    <mergeCell ref="G38:I38"/>
    <mergeCell ref="G39:I39"/>
    <mergeCell ref="G30:I30"/>
    <mergeCell ref="G31:I31"/>
    <mergeCell ref="G32:I32"/>
    <mergeCell ref="G33:I33"/>
    <mergeCell ref="G34:I34"/>
    <mergeCell ref="G25:I25"/>
    <mergeCell ref="G26:I26"/>
    <mergeCell ref="G27:I27"/>
    <mergeCell ref="G28:I28"/>
    <mergeCell ref="G29:I29"/>
    <mergeCell ref="G20:I20"/>
    <mergeCell ref="G21:I21"/>
    <mergeCell ref="G22:I22"/>
    <mergeCell ref="G23:I23"/>
    <mergeCell ref="G24:I24"/>
    <mergeCell ref="G15:I15"/>
    <mergeCell ref="G16:I16"/>
    <mergeCell ref="G17:I17"/>
    <mergeCell ref="G18:I18"/>
    <mergeCell ref="G19:I19"/>
    <mergeCell ref="G10:I10"/>
    <mergeCell ref="G11:I11"/>
    <mergeCell ref="G12:I12"/>
    <mergeCell ref="G13:I13"/>
    <mergeCell ref="G14:I14"/>
    <mergeCell ref="D8:E8"/>
    <mergeCell ref="F8:H8"/>
    <mergeCell ref="A9:C9"/>
    <mergeCell ref="D9:F9"/>
    <mergeCell ref="G9:I9"/>
    <mergeCell ref="A1:B1"/>
    <mergeCell ref="A5:J5"/>
    <mergeCell ref="G6:H6"/>
    <mergeCell ref="I6:J6"/>
    <mergeCell ref="B7:C7"/>
    <mergeCell ref="D7:E7"/>
    <mergeCell ref="F7:G7"/>
    <mergeCell ref="I7:J7"/>
    <mergeCell ref="D1:J4"/>
  </mergeCells>
  <pageMargins left="0" right="0" top="0.5" bottom="0" header="0.5" footer="0.5"/>
  <pageSetup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55"/>
  <sheetViews>
    <sheetView topLeftCell="A50" workbookViewId="0"/>
  </sheetViews>
  <sheetFormatPr defaultColWidth="9" defaultRowHeight="15"/>
  <cols>
    <col min="1" max="1" width="3.42578125" customWidth="1"/>
    <col min="2" max="2" width="21.7109375" customWidth="1"/>
    <col min="3" max="3" width="3.7109375" customWidth="1"/>
    <col min="4" max="4" width="11.140625" customWidth="1"/>
    <col min="5" max="5" width="9.85546875" customWidth="1"/>
    <col min="6" max="6" width="12.28515625" customWidth="1"/>
    <col min="7" max="7" width="14.140625" customWidth="1"/>
    <col min="8" max="8" width="4.85546875" customWidth="1"/>
    <col min="9" max="9" width="15.85546875" customWidth="1"/>
    <col min="10" max="10" width="10.85546875" customWidth="1"/>
    <col min="11" max="11" width="7.28515625" customWidth="1"/>
  </cols>
  <sheetData>
    <row r="1" spans="1:11" ht="15.75" customHeight="1">
      <c r="A1" s="2"/>
      <c r="B1" s="3"/>
      <c r="C1" s="3"/>
      <c r="D1" s="4"/>
      <c r="E1" s="277" t="s">
        <v>70</v>
      </c>
      <c r="F1" s="278"/>
      <c r="G1" s="278"/>
      <c r="H1" s="278"/>
      <c r="I1" s="278"/>
      <c r="J1" s="278"/>
      <c r="K1" s="279"/>
    </row>
    <row r="2" spans="1:11" ht="15" customHeight="1">
      <c r="A2" s="5"/>
      <c r="D2" s="6"/>
      <c r="E2" s="280"/>
      <c r="F2" s="281"/>
      <c r="G2" s="281"/>
      <c r="H2" s="281"/>
      <c r="I2" s="281"/>
      <c r="J2" s="281"/>
      <c r="K2" s="282"/>
    </row>
    <row r="3" spans="1:11" ht="15" customHeight="1">
      <c r="A3" s="5"/>
      <c r="D3" s="6"/>
      <c r="E3" s="280"/>
      <c r="F3" s="281"/>
      <c r="G3" s="281"/>
      <c r="H3" s="281"/>
      <c r="I3" s="281"/>
      <c r="J3" s="281"/>
      <c r="K3" s="282"/>
    </row>
    <row r="4" spans="1:11">
      <c r="A4" s="5"/>
      <c r="D4" s="6"/>
      <c r="E4" s="280"/>
      <c r="F4" s="281"/>
      <c r="G4" s="281"/>
      <c r="H4" s="281"/>
      <c r="I4" s="281"/>
      <c r="J4" s="281"/>
      <c r="K4" s="282"/>
    </row>
    <row r="5" spans="1:11">
      <c r="A5" s="7"/>
      <c r="B5" s="8"/>
      <c r="C5" s="8"/>
      <c r="D5" s="9"/>
      <c r="E5" s="283"/>
      <c r="F5" s="284"/>
      <c r="G5" s="284"/>
      <c r="H5" s="284"/>
      <c r="I5" s="284"/>
      <c r="J5" s="284"/>
      <c r="K5" s="285"/>
    </row>
    <row r="6" spans="1:11">
      <c r="A6" s="10" t="s">
        <v>124</v>
      </c>
      <c r="B6" s="11" t="s">
        <v>125</v>
      </c>
      <c r="C6" s="146"/>
      <c r="D6" s="146"/>
      <c r="E6" s="146"/>
      <c r="F6" s="146"/>
      <c r="G6" s="146"/>
      <c r="H6" s="146"/>
      <c r="I6" s="146"/>
      <c r="J6" s="146"/>
      <c r="K6" s="292"/>
    </row>
    <row r="7" spans="1:11">
      <c r="A7" s="12">
        <v>1</v>
      </c>
      <c r="B7" s="13" t="s">
        <v>126</v>
      </c>
      <c r="C7" s="289"/>
      <c r="D7" s="290"/>
      <c r="E7" s="290"/>
      <c r="F7" s="291"/>
      <c r="G7" s="13" t="s">
        <v>127</v>
      </c>
      <c r="H7" s="17"/>
      <c r="I7" s="34"/>
      <c r="J7" s="34"/>
      <c r="K7" s="35"/>
    </row>
    <row r="8" spans="1:11">
      <c r="A8" s="12"/>
      <c r="B8" s="13"/>
      <c r="C8" s="289"/>
      <c r="D8" s="290"/>
      <c r="E8" s="290"/>
      <c r="F8" s="291"/>
      <c r="G8" s="13"/>
      <c r="H8" s="17"/>
      <c r="I8" s="34"/>
      <c r="J8" s="34"/>
      <c r="K8" s="35"/>
    </row>
    <row r="9" spans="1:11">
      <c r="A9" s="12">
        <v>2</v>
      </c>
      <c r="B9" s="13" t="s">
        <v>128</v>
      </c>
      <c r="C9" s="289"/>
      <c r="D9" s="290"/>
      <c r="E9" s="290"/>
      <c r="F9" s="291"/>
      <c r="G9" s="13" t="s">
        <v>129</v>
      </c>
      <c r="H9" s="17"/>
      <c r="I9" s="34"/>
      <c r="J9" s="34"/>
      <c r="K9" s="35"/>
    </row>
    <row r="10" spans="1:11">
      <c r="A10" s="12"/>
      <c r="B10" s="13"/>
      <c r="C10" s="14"/>
      <c r="D10" s="15"/>
      <c r="E10" s="15"/>
      <c r="F10" s="16"/>
      <c r="G10" s="13"/>
      <c r="H10" s="17"/>
      <c r="I10" s="34"/>
      <c r="J10" s="34"/>
      <c r="K10" s="35"/>
    </row>
    <row r="11" spans="1:11">
      <c r="A11" s="12">
        <v>3</v>
      </c>
      <c r="B11" s="13" t="s">
        <v>130</v>
      </c>
      <c r="C11" s="289"/>
      <c r="D11" s="290"/>
      <c r="E11" s="290"/>
      <c r="F11" s="291"/>
      <c r="G11" s="13" t="s">
        <v>131</v>
      </c>
      <c r="H11" s="17"/>
      <c r="I11" s="34"/>
      <c r="J11" s="34"/>
      <c r="K11" s="35"/>
    </row>
    <row r="12" spans="1:11">
      <c r="A12" s="12"/>
      <c r="B12" s="13"/>
      <c r="C12" s="14"/>
      <c r="D12" s="15"/>
      <c r="E12" s="15"/>
      <c r="F12" s="16"/>
      <c r="G12" s="13"/>
      <c r="H12" s="17"/>
      <c r="I12" s="34"/>
      <c r="J12" s="34"/>
      <c r="K12" s="35"/>
    </row>
    <row r="13" spans="1:11">
      <c r="A13" s="12">
        <v>4</v>
      </c>
      <c r="B13" s="13" t="s">
        <v>132</v>
      </c>
      <c r="C13" s="289"/>
      <c r="D13" s="290"/>
      <c r="E13" s="290"/>
      <c r="F13" s="291"/>
      <c r="G13" s="13" t="s">
        <v>133</v>
      </c>
      <c r="H13" s="17"/>
      <c r="I13" s="34"/>
      <c r="J13" s="34"/>
      <c r="K13" s="35"/>
    </row>
    <row r="14" spans="1:11">
      <c r="A14" s="12"/>
      <c r="B14" s="13"/>
      <c r="C14" s="289"/>
      <c r="D14" s="290"/>
      <c r="E14" s="290"/>
      <c r="F14" s="291"/>
      <c r="G14" s="13"/>
      <c r="H14" s="17"/>
      <c r="I14" s="34"/>
      <c r="J14" s="34"/>
      <c r="K14" s="35"/>
    </row>
    <row r="15" spans="1:11">
      <c r="A15" s="12">
        <v>5</v>
      </c>
      <c r="B15" s="13" t="s">
        <v>134</v>
      </c>
      <c r="C15" s="14"/>
      <c r="D15" s="15"/>
      <c r="E15" s="15"/>
      <c r="F15" s="16"/>
      <c r="G15" s="13" t="s">
        <v>133</v>
      </c>
      <c r="H15" s="17"/>
      <c r="I15" s="34"/>
      <c r="J15" s="34"/>
      <c r="K15" s="35"/>
    </row>
    <row r="16" spans="1:11">
      <c r="A16" s="12"/>
      <c r="B16" s="13"/>
      <c r="C16" s="14"/>
      <c r="D16" s="15"/>
      <c r="E16" s="15"/>
      <c r="F16" s="16"/>
      <c r="G16" s="13"/>
      <c r="H16" s="17"/>
      <c r="I16" s="34"/>
      <c r="J16" s="34"/>
      <c r="K16" s="35"/>
    </row>
    <row r="17" spans="1:11">
      <c r="A17" s="12">
        <v>6</v>
      </c>
      <c r="B17" s="13" t="s">
        <v>135</v>
      </c>
      <c r="C17" s="289"/>
      <c r="D17" s="290"/>
      <c r="E17" s="290"/>
      <c r="F17" s="291"/>
      <c r="G17" s="13" t="s">
        <v>136</v>
      </c>
      <c r="H17" s="17"/>
      <c r="I17" s="34"/>
      <c r="J17" s="34"/>
      <c r="K17" s="35"/>
    </row>
    <row r="18" spans="1:11">
      <c r="A18" s="12"/>
      <c r="B18" s="13"/>
      <c r="C18" s="289"/>
      <c r="D18" s="290"/>
      <c r="E18" s="290"/>
      <c r="F18" s="291"/>
      <c r="G18" s="13"/>
      <c r="H18" s="17"/>
      <c r="I18" s="34"/>
      <c r="J18" s="34"/>
      <c r="K18" s="35"/>
    </row>
    <row r="19" spans="1:11">
      <c r="A19" s="12">
        <v>7</v>
      </c>
      <c r="B19" s="13" t="s">
        <v>137</v>
      </c>
      <c r="C19" s="289"/>
      <c r="D19" s="290"/>
      <c r="E19" s="290"/>
      <c r="F19" s="291"/>
      <c r="G19" s="13" t="s">
        <v>138</v>
      </c>
      <c r="H19" s="17"/>
      <c r="I19" s="34"/>
      <c r="J19" s="34"/>
      <c r="K19" s="35"/>
    </row>
    <row r="20" spans="1:11">
      <c r="A20" s="12"/>
      <c r="B20" s="13"/>
      <c r="C20" s="289"/>
      <c r="D20" s="290"/>
      <c r="E20" s="290"/>
      <c r="F20" s="291"/>
      <c r="G20" s="13"/>
      <c r="H20" s="17"/>
      <c r="I20" s="34"/>
      <c r="J20" s="34"/>
      <c r="K20" s="35"/>
    </row>
    <row r="21" spans="1:11">
      <c r="A21" s="12">
        <v>8</v>
      </c>
      <c r="B21" s="13" t="s">
        <v>139</v>
      </c>
      <c r="C21" s="289"/>
      <c r="D21" s="290"/>
      <c r="E21" s="290"/>
      <c r="F21" s="291"/>
      <c r="G21" s="13"/>
      <c r="H21" s="17"/>
      <c r="I21" s="34"/>
      <c r="J21" s="34"/>
      <c r="K21" s="35"/>
    </row>
    <row r="22" spans="1:11">
      <c r="A22" s="12"/>
      <c r="B22" s="13"/>
      <c r="C22" s="289"/>
      <c r="D22" s="290"/>
      <c r="E22" s="290"/>
      <c r="F22" s="291"/>
      <c r="G22" s="13"/>
      <c r="H22" s="17"/>
      <c r="I22" s="34"/>
      <c r="J22" s="34"/>
      <c r="K22" s="35"/>
    </row>
    <row r="23" spans="1:11">
      <c r="A23" s="5"/>
      <c r="K23" s="6"/>
    </row>
    <row r="24" spans="1:11">
      <c r="A24" s="5">
        <v>8</v>
      </c>
      <c r="B24" s="18" t="s">
        <v>140</v>
      </c>
      <c r="C24" s="286"/>
      <c r="D24" s="178"/>
      <c r="E24" s="178"/>
      <c r="F24" s="178"/>
      <c r="G24" s="178"/>
      <c r="H24" s="178"/>
      <c r="I24" s="178"/>
      <c r="J24" s="178"/>
      <c r="K24" s="179"/>
    </row>
    <row r="25" spans="1:11">
      <c r="A25" s="5"/>
      <c r="B25" s="19"/>
      <c r="C25" s="287"/>
      <c r="D25" s="154"/>
      <c r="E25" s="154"/>
      <c r="F25" s="154"/>
      <c r="G25" s="154"/>
      <c r="H25" s="154"/>
      <c r="I25" s="154"/>
      <c r="J25" s="154"/>
      <c r="K25" s="182"/>
    </row>
    <row r="26" spans="1:11">
      <c r="A26" s="5"/>
      <c r="B26" s="20"/>
      <c r="C26" s="288"/>
      <c r="D26" s="183"/>
      <c r="E26" s="183"/>
      <c r="F26" s="183"/>
      <c r="G26" s="183"/>
      <c r="H26" s="183"/>
      <c r="I26" s="183"/>
      <c r="J26" s="183"/>
      <c r="K26" s="184"/>
    </row>
    <row r="27" spans="1:11">
      <c r="A27" s="5"/>
      <c r="K27" s="6"/>
    </row>
    <row r="28" spans="1:11">
      <c r="A28" s="5">
        <v>9</v>
      </c>
      <c r="B28" s="18" t="s">
        <v>141</v>
      </c>
      <c r="C28" s="21" t="s">
        <v>124</v>
      </c>
      <c r="D28" s="11" t="s">
        <v>142</v>
      </c>
      <c r="E28" s="296" t="s">
        <v>143</v>
      </c>
      <c r="F28" s="297"/>
      <c r="G28" s="11" t="s">
        <v>144</v>
      </c>
      <c r="H28" s="296" t="s">
        <v>145</v>
      </c>
      <c r="I28" s="297"/>
      <c r="J28" s="11" t="s">
        <v>146</v>
      </c>
      <c r="K28" s="36" t="s">
        <v>147</v>
      </c>
    </row>
    <row r="29" spans="1:11">
      <c r="A29" s="5"/>
      <c r="B29" s="19"/>
      <c r="C29" s="22"/>
      <c r="D29" s="13"/>
      <c r="E29" s="13" t="s">
        <v>148</v>
      </c>
      <c r="F29" s="13" t="s">
        <v>149</v>
      </c>
      <c r="G29" s="13"/>
      <c r="H29" s="13" t="s">
        <v>150</v>
      </c>
      <c r="I29" s="13" t="s">
        <v>151</v>
      </c>
      <c r="J29" s="13" t="s">
        <v>152</v>
      </c>
      <c r="K29" s="37"/>
    </row>
    <row r="30" spans="1:11">
      <c r="A30" s="5"/>
      <c r="B30" s="19"/>
      <c r="C30" s="12">
        <v>1</v>
      </c>
      <c r="D30" s="23"/>
      <c r="E30" s="23"/>
      <c r="F30" s="23"/>
      <c r="G30" s="24">
        <f t="shared" ref="G30:G34" si="0">F30-E30</f>
        <v>0</v>
      </c>
      <c r="H30" s="23"/>
      <c r="I30" s="23"/>
      <c r="J30" s="23"/>
      <c r="K30" s="38">
        <f t="shared" ref="K30:K34" si="1">J30+I30</f>
        <v>0</v>
      </c>
    </row>
    <row r="31" spans="1:11">
      <c r="A31" s="5"/>
      <c r="B31" s="19"/>
      <c r="C31" s="12">
        <v>2</v>
      </c>
      <c r="D31" s="23"/>
      <c r="E31" s="23"/>
      <c r="F31" s="23"/>
      <c r="G31" s="24">
        <f t="shared" si="0"/>
        <v>0</v>
      </c>
      <c r="H31" s="23"/>
      <c r="I31" s="23"/>
      <c r="J31" s="23"/>
      <c r="K31" s="38">
        <f t="shared" si="1"/>
        <v>0</v>
      </c>
    </row>
    <row r="32" spans="1:11">
      <c r="A32" s="5"/>
      <c r="B32" s="19"/>
      <c r="C32" s="12">
        <v>3</v>
      </c>
      <c r="D32" s="23"/>
      <c r="E32" s="23"/>
      <c r="F32" s="23"/>
      <c r="G32" s="24">
        <f t="shared" si="0"/>
        <v>0</v>
      </c>
      <c r="H32" s="23"/>
      <c r="I32" s="23"/>
      <c r="J32" s="23"/>
      <c r="K32" s="38">
        <f t="shared" si="1"/>
        <v>0</v>
      </c>
    </row>
    <row r="33" spans="1:11">
      <c r="A33" s="5"/>
      <c r="B33" s="19"/>
      <c r="C33" s="12">
        <v>4</v>
      </c>
      <c r="D33" s="23"/>
      <c r="E33" s="23"/>
      <c r="F33" s="23"/>
      <c r="G33" s="24">
        <f t="shared" si="0"/>
        <v>0</v>
      </c>
      <c r="H33" s="23"/>
      <c r="I33" s="23"/>
      <c r="J33" s="23"/>
      <c r="K33" s="38">
        <f t="shared" si="1"/>
        <v>0</v>
      </c>
    </row>
    <row r="34" spans="1:11" s="1" customFormat="1">
      <c r="A34" s="25"/>
      <c r="B34" s="26"/>
      <c r="C34" s="27"/>
      <c r="D34" s="28" t="s">
        <v>153</v>
      </c>
      <c r="E34" s="28"/>
      <c r="F34" s="28"/>
      <c r="G34" s="29">
        <f t="shared" si="0"/>
        <v>0</v>
      </c>
      <c r="H34" s="28"/>
      <c r="I34" s="28"/>
      <c r="J34" s="28"/>
      <c r="K34" s="39">
        <f t="shared" si="1"/>
        <v>0</v>
      </c>
    </row>
    <row r="35" spans="1:11">
      <c r="A35" s="5"/>
      <c r="K35" s="6"/>
    </row>
    <row r="36" spans="1:11">
      <c r="A36" s="5">
        <v>10</v>
      </c>
      <c r="B36" s="1" t="s">
        <v>154</v>
      </c>
      <c r="K36" s="6"/>
    </row>
    <row r="37" spans="1:11">
      <c r="A37" s="5"/>
      <c r="C37" s="10" t="s">
        <v>124</v>
      </c>
      <c r="D37" s="30" t="s">
        <v>155</v>
      </c>
      <c r="E37" s="30" t="s">
        <v>156</v>
      </c>
      <c r="F37" s="30" t="s">
        <v>157</v>
      </c>
      <c r="G37" s="30" t="s">
        <v>83</v>
      </c>
      <c r="H37" s="293" t="s">
        <v>158</v>
      </c>
      <c r="I37" s="294"/>
      <c r="J37" s="295"/>
      <c r="K37" s="6"/>
    </row>
    <row r="38" spans="1:11">
      <c r="A38" s="5"/>
      <c r="C38" s="12">
        <v>1</v>
      </c>
      <c r="D38" s="23"/>
      <c r="E38" s="23"/>
      <c r="F38" s="23"/>
      <c r="G38" s="31">
        <v>0</v>
      </c>
      <c r="H38" s="17"/>
      <c r="I38" s="34"/>
      <c r="J38" s="35"/>
      <c r="K38" s="6"/>
    </row>
    <row r="39" spans="1:11">
      <c r="A39" s="5"/>
      <c r="C39" s="12">
        <v>2</v>
      </c>
      <c r="D39" s="23"/>
      <c r="E39" s="23"/>
      <c r="F39" s="23"/>
      <c r="G39" s="31">
        <v>0</v>
      </c>
      <c r="H39" s="17"/>
      <c r="I39" s="34"/>
      <c r="J39" s="35"/>
      <c r="K39" s="6"/>
    </row>
    <row r="40" spans="1:11">
      <c r="A40" s="5"/>
      <c r="C40" s="12">
        <v>3</v>
      </c>
      <c r="D40" s="23"/>
      <c r="E40" s="23"/>
      <c r="F40" s="23"/>
      <c r="G40" s="31">
        <v>0</v>
      </c>
      <c r="H40" s="17"/>
      <c r="I40" s="34"/>
      <c r="J40" s="35"/>
      <c r="K40" s="6"/>
    </row>
    <row r="41" spans="1:11">
      <c r="A41" s="5"/>
      <c r="C41" s="12">
        <v>4</v>
      </c>
      <c r="D41" s="23"/>
      <c r="E41" s="23"/>
      <c r="F41" s="23"/>
      <c r="G41" s="31">
        <v>0</v>
      </c>
      <c r="H41" s="17"/>
      <c r="I41" s="34"/>
      <c r="J41" s="35"/>
      <c r="K41" s="6"/>
    </row>
    <row r="42" spans="1:11">
      <c r="A42" s="5"/>
      <c r="C42" s="12">
        <v>5</v>
      </c>
      <c r="D42" s="23"/>
      <c r="E42" s="23"/>
      <c r="F42" s="23"/>
      <c r="G42" s="31">
        <v>0</v>
      </c>
      <c r="H42" s="17"/>
      <c r="I42" s="34"/>
      <c r="J42" s="35"/>
      <c r="K42" s="6"/>
    </row>
    <row r="43" spans="1:11">
      <c r="A43" s="5"/>
      <c r="C43" s="12">
        <v>6</v>
      </c>
      <c r="D43" s="23"/>
      <c r="E43" s="23"/>
      <c r="F43" s="23"/>
      <c r="G43" s="31">
        <v>0</v>
      </c>
      <c r="H43" s="17"/>
      <c r="I43" s="34"/>
      <c r="J43" s="35"/>
      <c r="K43" s="6"/>
    </row>
    <row r="44" spans="1:11">
      <c r="A44" s="5"/>
      <c r="C44" s="12">
        <v>7</v>
      </c>
      <c r="D44" s="23"/>
      <c r="E44" s="23"/>
      <c r="F44" s="23"/>
      <c r="G44" s="31">
        <v>0</v>
      </c>
      <c r="H44" s="17"/>
      <c r="I44" s="34"/>
      <c r="J44" s="35"/>
      <c r="K44" s="6"/>
    </row>
    <row r="45" spans="1:11">
      <c r="A45" s="5"/>
      <c r="C45" s="12">
        <v>8</v>
      </c>
      <c r="D45" s="23"/>
      <c r="E45" s="23"/>
      <c r="F45" s="23"/>
      <c r="G45" s="31">
        <v>0</v>
      </c>
      <c r="H45" s="17"/>
      <c r="I45" s="34"/>
      <c r="J45" s="35"/>
      <c r="K45" s="6"/>
    </row>
    <row r="46" spans="1:11">
      <c r="A46" s="5"/>
      <c r="C46" s="12">
        <v>9</v>
      </c>
      <c r="D46" s="23"/>
      <c r="E46" s="23"/>
      <c r="F46" s="23"/>
      <c r="G46" s="31">
        <v>0</v>
      </c>
      <c r="H46" s="17"/>
      <c r="I46" s="34"/>
      <c r="J46" s="35"/>
      <c r="K46" s="6"/>
    </row>
    <row r="47" spans="1:11">
      <c r="A47" s="5"/>
      <c r="C47" s="12">
        <v>10</v>
      </c>
      <c r="D47" s="23"/>
      <c r="E47" s="23"/>
      <c r="F47" s="23"/>
      <c r="G47" s="31">
        <v>0</v>
      </c>
      <c r="H47" s="17"/>
      <c r="I47" s="34"/>
      <c r="J47" s="35"/>
      <c r="K47" s="6"/>
    </row>
    <row r="48" spans="1:11">
      <c r="A48" s="5"/>
      <c r="C48" s="12">
        <v>11</v>
      </c>
      <c r="D48" s="23"/>
      <c r="E48" s="23"/>
      <c r="F48" s="23"/>
      <c r="G48" s="31">
        <v>0</v>
      </c>
      <c r="H48" s="17"/>
      <c r="I48" s="34"/>
      <c r="J48" s="35"/>
      <c r="K48" s="6"/>
    </row>
    <row r="49" spans="1:11" s="1" customFormat="1">
      <c r="A49" s="25"/>
      <c r="C49" s="27"/>
      <c r="D49" s="28" t="s">
        <v>153</v>
      </c>
      <c r="E49" s="28"/>
      <c r="F49" s="28"/>
      <c r="G49" s="29">
        <f>SUM(G38:G48)</f>
        <v>0</v>
      </c>
      <c r="H49" s="28"/>
      <c r="I49" s="28"/>
      <c r="J49" s="40"/>
      <c r="K49" s="41"/>
    </row>
    <row r="50" spans="1:11">
      <c r="A50" s="5"/>
      <c r="C50" s="32"/>
      <c r="D50" s="33" t="s">
        <v>159</v>
      </c>
      <c r="E50" s="33"/>
      <c r="F50" s="33"/>
      <c r="G50" s="33">
        <f>G49+K34</f>
        <v>0</v>
      </c>
      <c r="H50" s="33"/>
      <c r="I50" s="33"/>
      <c r="J50" s="42"/>
      <c r="K50" s="6"/>
    </row>
    <row r="51" spans="1:11">
      <c r="A51" s="5"/>
      <c r="B51" s="1" t="s">
        <v>160</v>
      </c>
      <c r="C51" s="1"/>
      <c r="D51" s="1"/>
      <c r="E51" s="1"/>
      <c r="F51" s="1"/>
      <c r="G51" s="1"/>
      <c r="H51" s="1"/>
      <c r="I51" s="1"/>
      <c r="J51" s="1"/>
      <c r="K51" s="6"/>
    </row>
    <row r="52" spans="1:11">
      <c r="A52" s="5"/>
      <c r="B52" s="1"/>
      <c r="C52" s="1"/>
      <c r="D52" s="1"/>
      <c r="E52" s="1"/>
      <c r="F52" s="1"/>
      <c r="G52" s="1"/>
      <c r="H52" s="1"/>
      <c r="I52" s="1"/>
      <c r="J52" s="1"/>
      <c r="K52" s="6"/>
    </row>
    <row r="53" spans="1:11">
      <c r="A53" s="5"/>
      <c r="B53" s="1"/>
      <c r="C53" s="1"/>
      <c r="D53" s="1"/>
      <c r="E53" s="1"/>
      <c r="F53" s="1"/>
      <c r="G53" s="1"/>
      <c r="H53" s="1"/>
      <c r="I53" s="1"/>
      <c r="J53" s="1"/>
      <c r="K53" s="6"/>
    </row>
    <row r="54" spans="1:11">
      <c r="A54" s="5"/>
      <c r="B54" s="1" t="s">
        <v>161</v>
      </c>
      <c r="C54" s="1"/>
      <c r="D54" s="1"/>
      <c r="E54" s="1"/>
      <c r="F54" s="1" t="s">
        <v>162</v>
      </c>
      <c r="G54" s="1"/>
      <c r="H54" s="1"/>
      <c r="I54" s="1" t="s">
        <v>163</v>
      </c>
      <c r="J54" s="1"/>
      <c r="K54" s="6"/>
    </row>
    <row r="55" spans="1:11">
      <c r="A55" s="7"/>
      <c r="B55" s="8"/>
      <c r="C55" s="8"/>
      <c r="D55" s="8"/>
      <c r="E55" s="8"/>
      <c r="F55" s="8"/>
      <c r="G55" s="8"/>
      <c r="H55" s="8"/>
      <c r="I55" s="8"/>
      <c r="J55" s="8"/>
      <c r="K55" s="9"/>
    </row>
  </sheetData>
  <mergeCells count="18">
    <mergeCell ref="H37:J37"/>
    <mergeCell ref="E28:F28"/>
    <mergeCell ref="H28:I28"/>
    <mergeCell ref="E1:K5"/>
    <mergeCell ref="C24:K26"/>
    <mergeCell ref="C20:F20"/>
    <mergeCell ref="C21:F21"/>
    <mergeCell ref="C22:F22"/>
    <mergeCell ref="C13:F13"/>
    <mergeCell ref="C14:F14"/>
    <mergeCell ref="C17:F17"/>
    <mergeCell ref="C18:F18"/>
    <mergeCell ref="C19:F19"/>
    <mergeCell ref="C6:K6"/>
    <mergeCell ref="C7:F7"/>
    <mergeCell ref="C8:F8"/>
    <mergeCell ref="C9:F9"/>
    <mergeCell ref="C11:F11"/>
  </mergeCells>
  <pageMargins left="0.25" right="0" top="0.5" bottom="0" header="0.5" footer="0.5"/>
  <pageSetup scale="8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23-24</vt:lpstr>
      <vt:lpstr>Travel Policy 24-25</vt:lpstr>
      <vt:lpstr>TES Exp Format</vt:lpstr>
      <vt:lpstr>ATP</vt:lpstr>
      <vt:lpstr>CS claim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Narsinghyadav</dc:creator>
  <cp:lastModifiedBy>Narsingh Yadav</cp:lastModifiedBy>
  <dcterms:created xsi:type="dcterms:W3CDTF">2021-03-11T16:59:00Z</dcterms:created>
  <dcterms:modified xsi:type="dcterms:W3CDTF">2025-09-29T12:09:20Z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18A089E63F58420F8C225C23738C538D</vt:lpwstr>
  </property>
  <property fmtid="{D5CDD505-2E9C-101B-9397-08002B2CF9AE}" pid="3" name="KSOProductBuildVer">
    <vt:lpwstr>1033-12.2.0.16731</vt:lpwstr>
  </property>
</Properties>
</file>